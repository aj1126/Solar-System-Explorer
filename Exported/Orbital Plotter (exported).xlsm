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defaultThemeVersion="202300"/>
  <mc:AlternateContent xmlns:mc="http://schemas.openxmlformats.org/markup-compatibility/2006">
    <mc:Choice Requires="x15">
      <x15ac:absPath xmlns:x15ac="http://schemas.microsoft.com/office/spreadsheetml/2010/11/ac" url="D:\.GitHub\AJukesProductions\amorphose\Solar-System-Explorer\"/>
    </mc:Choice>
  </mc:AlternateContent>
  <xr:revisionPtr revIDLastSave="0" documentId="8_{A6F93AF2-D32F-4F53-94F4-0930256A6117}" xr6:coauthVersionLast="47" xr6:coauthVersionMax="47" xr10:uidLastSave="{00000000-0000-0000-0000-000000000000}"/>
  <bookViews>
    <workbookView xWindow="5145" yWindow="4590" windowWidth="18900" windowHeight="10905" xr2:uid="{E9182030-C769-42FB-8672-D0B4A848D0E7}"/>
  </bookViews>
  <sheets>
    <sheet name="Orbital Plotter" sheetId="1" r:id="rId1"/>
  </sheets>
  <externalReferences>
    <externalReference r:id="rId2"/>
  </externalReferences>
  <definedNames>
    <definedName name="Plot_display_choices">OFFSET('Orbital Plotter'!$AA$2,0,0,COUNTA('Orbital Plotter'!$AA:$AA),1)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" l="1"/>
  <c r="K4" i="1" s="1"/>
  <c r="K5" i="1" s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AA2" i="1" a="1"/>
  <c r="AA2" i="1" s="1"/>
  <c r="E2" i="1"/>
  <c r="D2" i="1"/>
  <c r="L352" i="1" l="1"/>
  <c r="M277" i="1"/>
  <c r="M75" i="1"/>
  <c r="M325" i="1"/>
  <c r="L336" i="1"/>
  <c r="M320" i="1"/>
  <c r="M144" i="1"/>
  <c r="M160" i="1"/>
  <c r="L134" i="1"/>
  <c r="M107" i="1"/>
  <c r="L283" i="1"/>
  <c r="M293" i="1"/>
  <c r="M117" i="1"/>
  <c r="M32" i="1"/>
  <c r="L176" i="1"/>
  <c r="L256" i="1"/>
  <c r="M341" i="1"/>
  <c r="L75" i="1"/>
  <c r="M21" i="1"/>
  <c r="L235" i="1"/>
  <c r="L107" i="1"/>
  <c r="M240" i="1"/>
  <c r="L139" i="1"/>
  <c r="M139" i="1"/>
  <c r="M192" i="1"/>
  <c r="L240" i="1"/>
  <c r="L166" i="1"/>
  <c r="L91" i="1"/>
  <c r="L6" i="1"/>
  <c r="L150" i="1"/>
  <c r="M181" i="1"/>
  <c r="L219" i="1"/>
  <c r="M304" i="1"/>
  <c r="L347" i="1"/>
  <c r="L320" i="1"/>
  <c r="M48" i="1"/>
  <c r="M80" i="1"/>
  <c r="M85" i="1"/>
  <c r="L203" i="1"/>
  <c r="L208" i="1"/>
  <c r="M171" i="1"/>
  <c r="L118" i="1"/>
  <c r="L299" i="1"/>
  <c r="M64" i="1"/>
  <c r="L38" i="1"/>
  <c r="L224" i="1"/>
  <c r="M309" i="1"/>
  <c r="M362" i="1"/>
  <c r="L357" i="1"/>
  <c r="M346" i="1"/>
  <c r="L341" i="1"/>
  <c r="M330" i="1"/>
  <c r="L325" i="1"/>
  <c r="M314" i="1"/>
  <c r="L309" i="1"/>
  <c r="M298" i="1"/>
  <c r="L293" i="1"/>
  <c r="M282" i="1"/>
  <c r="L277" i="1"/>
  <c r="M266" i="1"/>
  <c r="L261" i="1"/>
  <c r="M250" i="1"/>
  <c r="L245" i="1"/>
  <c r="M234" i="1"/>
  <c r="L229" i="1"/>
  <c r="M218" i="1"/>
  <c r="L213" i="1"/>
  <c r="M202" i="1"/>
  <c r="L197" i="1"/>
  <c r="M186" i="1"/>
  <c r="L181" i="1"/>
  <c r="M170" i="1"/>
  <c r="L165" i="1"/>
  <c r="M154" i="1"/>
  <c r="L149" i="1"/>
  <c r="M138" i="1"/>
  <c r="L133" i="1"/>
  <c r="M122" i="1"/>
  <c r="L117" i="1"/>
  <c r="M106" i="1"/>
  <c r="L101" i="1"/>
  <c r="M90" i="1"/>
  <c r="L85" i="1"/>
  <c r="M74" i="1"/>
  <c r="L69" i="1"/>
  <c r="M58" i="1"/>
  <c r="L53" i="1"/>
  <c r="M42" i="1"/>
  <c r="L37" i="1"/>
  <c r="M26" i="1"/>
  <c r="L21" i="1"/>
  <c r="M10" i="1"/>
  <c r="L5" i="1"/>
  <c r="M4" i="1"/>
  <c r="M226" i="1"/>
  <c r="L189" i="1"/>
  <c r="L157" i="1"/>
  <c r="L141" i="1"/>
  <c r="L109" i="1"/>
  <c r="M50" i="1"/>
  <c r="L13" i="1"/>
  <c r="M44" i="1"/>
  <c r="L172" i="1"/>
  <c r="M113" i="1"/>
  <c r="M65" i="1"/>
  <c r="L362" i="1"/>
  <c r="M351" i="1"/>
  <c r="L346" i="1"/>
  <c r="M335" i="1"/>
  <c r="L330" i="1"/>
  <c r="M319" i="1"/>
  <c r="L314" i="1"/>
  <c r="M303" i="1"/>
  <c r="L298" i="1"/>
  <c r="M287" i="1"/>
  <c r="L282" i="1"/>
  <c r="M271" i="1"/>
  <c r="L266" i="1"/>
  <c r="M255" i="1"/>
  <c r="L250" i="1"/>
  <c r="M239" i="1"/>
  <c r="L234" i="1"/>
  <c r="M223" i="1"/>
  <c r="L218" i="1"/>
  <c r="M207" i="1"/>
  <c r="L202" i="1"/>
  <c r="M191" i="1"/>
  <c r="L186" i="1"/>
  <c r="M175" i="1"/>
  <c r="L170" i="1"/>
  <c r="M159" i="1"/>
  <c r="L154" i="1"/>
  <c r="M143" i="1"/>
  <c r="L138" i="1"/>
  <c r="M127" i="1"/>
  <c r="L122" i="1"/>
  <c r="M111" i="1"/>
  <c r="L106" i="1"/>
  <c r="M95" i="1"/>
  <c r="L90" i="1"/>
  <c r="M79" i="1"/>
  <c r="L74" i="1"/>
  <c r="M63" i="1"/>
  <c r="L58" i="1"/>
  <c r="M47" i="1"/>
  <c r="L42" i="1"/>
  <c r="M31" i="1"/>
  <c r="L26" i="1"/>
  <c r="M15" i="1"/>
  <c r="L10" i="1"/>
  <c r="M146" i="1"/>
  <c r="M98" i="1"/>
  <c r="L61" i="1"/>
  <c r="M18" i="1"/>
  <c r="M28" i="1"/>
  <c r="M241" i="1"/>
  <c r="L92" i="1"/>
  <c r="M33" i="1"/>
  <c r="M283" i="1"/>
  <c r="M203" i="1"/>
  <c r="M356" i="1"/>
  <c r="L351" i="1"/>
  <c r="M340" i="1"/>
  <c r="L335" i="1"/>
  <c r="M324" i="1"/>
  <c r="L319" i="1"/>
  <c r="M308" i="1"/>
  <c r="L303" i="1"/>
  <c r="M292" i="1"/>
  <c r="L287" i="1"/>
  <c r="M276" i="1"/>
  <c r="L271" i="1"/>
  <c r="M260" i="1"/>
  <c r="L255" i="1"/>
  <c r="M244" i="1"/>
  <c r="L239" i="1"/>
  <c r="M228" i="1"/>
  <c r="L223" i="1"/>
  <c r="M212" i="1"/>
  <c r="L207" i="1"/>
  <c r="M196" i="1"/>
  <c r="L191" i="1"/>
  <c r="M180" i="1"/>
  <c r="L175" i="1"/>
  <c r="M164" i="1"/>
  <c r="L159" i="1"/>
  <c r="M148" i="1"/>
  <c r="L143" i="1"/>
  <c r="M132" i="1"/>
  <c r="L127" i="1"/>
  <c r="M116" i="1"/>
  <c r="L111" i="1"/>
  <c r="M100" i="1"/>
  <c r="L95" i="1"/>
  <c r="M84" i="1"/>
  <c r="L79" i="1"/>
  <c r="M68" i="1"/>
  <c r="L63" i="1"/>
  <c r="M52" i="1"/>
  <c r="L47" i="1"/>
  <c r="M36" i="1"/>
  <c r="L31" i="1"/>
  <c r="M20" i="1"/>
  <c r="L15" i="1"/>
  <c r="L156" i="1"/>
  <c r="L44" i="1"/>
  <c r="L230" i="1"/>
  <c r="M361" i="1"/>
  <c r="L356" i="1"/>
  <c r="M345" i="1"/>
  <c r="L340" i="1"/>
  <c r="M329" i="1"/>
  <c r="L324" i="1"/>
  <c r="M313" i="1"/>
  <c r="L308" i="1"/>
  <c r="M297" i="1"/>
  <c r="L292" i="1"/>
  <c r="M281" i="1"/>
  <c r="L276" i="1"/>
  <c r="M265" i="1"/>
  <c r="L260" i="1"/>
  <c r="M249" i="1"/>
  <c r="L244" i="1"/>
  <c r="M233" i="1"/>
  <c r="L228" i="1"/>
  <c r="M217" i="1"/>
  <c r="L212" i="1"/>
  <c r="M201" i="1"/>
  <c r="L196" i="1"/>
  <c r="M185" i="1"/>
  <c r="L180" i="1"/>
  <c r="M169" i="1"/>
  <c r="L164" i="1"/>
  <c r="M153" i="1"/>
  <c r="L148" i="1"/>
  <c r="M137" i="1"/>
  <c r="L132" i="1"/>
  <c r="M121" i="1"/>
  <c r="L116" i="1"/>
  <c r="M105" i="1"/>
  <c r="L100" i="1"/>
  <c r="M89" i="1"/>
  <c r="L84" i="1"/>
  <c r="M73" i="1"/>
  <c r="L68" i="1"/>
  <c r="M57" i="1"/>
  <c r="L52" i="1"/>
  <c r="M41" i="1"/>
  <c r="L36" i="1"/>
  <c r="M25" i="1"/>
  <c r="L20" i="1"/>
  <c r="M9" i="1"/>
  <c r="L4" i="1"/>
  <c r="M258" i="1"/>
  <c r="M130" i="1"/>
  <c r="L77" i="1"/>
  <c r="L7" i="1"/>
  <c r="L252" i="1"/>
  <c r="L124" i="1"/>
  <c r="L60" i="1"/>
  <c r="L2" i="1"/>
  <c r="M251" i="1"/>
  <c r="M187" i="1"/>
  <c r="L361" i="1"/>
  <c r="M350" i="1"/>
  <c r="L345" i="1"/>
  <c r="M334" i="1"/>
  <c r="L329" i="1"/>
  <c r="M318" i="1"/>
  <c r="L313" i="1"/>
  <c r="M302" i="1"/>
  <c r="L297" i="1"/>
  <c r="M286" i="1"/>
  <c r="L281" i="1"/>
  <c r="M270" i="1"/>
  <c r="L265" i="1"/>
  <c r="M254" i="1"/>
  <c r="L249" i="1"/>
  <c r="M238" i="1"/>
  <c r="L233" i="1"/>
  <c r="M222" i="1"/>
  <c r="L217" i="1"/>
  <c r="M206" i="1"/>
  <c r="L201" i="1"/>
  <c r="M190" i="1"/>
  <c r="L185" i="1"/>
  <c r="M174" i="1"/>
  <c r="L169" i="1"/>
  <c r="M158" i="1"/>
  <c r="L153" i="1"/>
  <c r="M142" i="1"/>
  <c r="L137" i="1"/>
  <c r="M126" i="1"/>
  <c r="L121" i="1"/>
  <c r="M110" i="1"/>
  <c r="L105" i="1"/>
  <c r="M94" i="1"/>
  <c r="L89" i="1"/>
  <c r="M78" i="1"/>
  <c r="L73" i="1"/>
  <c r="M62" i="1"/>
  <c r="L57" i="1"/>
  <c r="M46" i="1"/>
  <c r="L41" i="1"/>
  <c r="M30" i="1"/>
  <c r="L25" i="1"/>
  <c r="M14" i="1"/>
  <c r="L9" i="1"/>
  <c r="M34" i="1"/>
  <c r="M97" i="1"/>
  <c r="M355" i="1"/>
  <c r="L350" i="1"/>
  <c r="M339" i="1"/>
  <c r="L334" i="1"/>
  <c r="M323" i="1"/>
  <c r="L318" i="1"/>
  <c r="M307" i="1"/>
  <c r="L302" i="1"/>
  <c r="M291" i="1"/>
  <c r="L286" i="1"/>
  <c r="M275" i="1"/>
  <c r="L270" i="1"/>
  <c r="M259" i="1"/>
  <c r="L254" i="1"/>
  <c r="M243" i="1"/>
  <c r="L238" i="1"/>
  <c r="M227" i="1"/>
  <c r="L222" i="1"/>
  <c r="M211" i="1"/>
  <c r="L206" i="1"/>
  <c r="M195" i="1"/>
  <c r="L190" i="1"/>
  <c r="M179" i="1"/>
  <c r="L174" i="1"/>
  <c r="M163" i="1"/>
  <c r="L158" i="1"/>
  <c r="M147" i="1"/>
  <c r="L142" i="1"/>
  <c r="M131" i="1"/>
  <c r="L126" i="1"/>
  <c r="M115" i="1"/>
  <c r="L110" i="1"/>
  <c r="M99" i="1"/>
  <c r="L94" i="1"/>
  <c r="M83" i="1"/>
  <c r="L78" i="1"/>
  <c r="M67" i="1"/>
  <c r="L62" i="1"/>
  <c r="M51" i="1"/>
  <c r="L46" i="1"/>
  <c r="M35" i="1"/>
  <c r="L30" i="1"/>
  <c r="M19" i="1"/>
  <c r="L14" i="1"/>
  <c r="M3" i="1"/>
  <c r="L253" i="1"/>
  <c r="M178" i="1"/>
  <c r="M82" i="1"/>
  <c r="L45" i="1"/>
  <c r="L39" i="1"/>
  <c r="M209" i="1"/>
  <c r="M161" i="1"/>
  <c r="L12" i="1"/>
  <c r="M360" i="1"/>
  <c r="L355" i="1"/>
  <c r="M344" i="1"/>
  <c r="L339" i="1"/>
  <c r="M328" i="1"/>
  <c r="L323" i="1"/>
  <c r="M312" i="1"/>
  <c r="L307" i="1"/>
  <c r="M296" i="1"/>
  <c r="L291" i="1"/>
  <c r="M280" i="1"/>
  <c r="L275" i="1"/>
  <c r="M264" i="1"/>
  <c r="L259" i="1"/>
  <c r="M248" i="1"/>
  <c r="L243" i="1"/>
  <c r="M232" i="1"/>
  <c r="L227" i="1"/>
  <c r="M216" i="1"/>
  <c r="L211" i="1"/>
  <c r="M200" i="1"/>
  <c r="L195" i="1"/>
  <c r="M184" i="1"/>
  <c r="L179" i="1"/>
  <c r="M168" i="1"/>
  <c r="L163" i="1"/>
  <c r="M152" i="1"/>
  <c r="L147" i="1"/>
  <c r="M136" i="1"/>
  <c r="L131" i="1"/>
  <c r="M120" i="1"/>
  <c r="L115" i="1"/>
  <c r="M104" i="1"/>
  <c r="L99" i="1"/>
  <c r="M88" i="1"/>
  <c r="L83" i="1"/>
  <c r="M72" i="1"/>
  <c r="L67" i="1"/>
  <c r="M56" i="1"/>
  <c r="L51" i="1"/>
  <c r="M40" i="1"/>
  <c r="L35" i="1"/>
  <c r="M24" i="1"/>
  <c r="L19" i="1"/>
  <c r="M8" i="1"/>
  <c r="L3" i="1"/>
  <c r="L237" i="1"/>
  <c r="M162" i="1"/>
  <c r="M114" i="1"/>
  <c r="L23" i="1"/>
  <c r="M225" i="1"/>
  <c r="M145" i="1"/>
  <c r="M81" i="1"/>
  <c r="M17" i="1"/>
  <c r="L246" i="1"/>
  <c r="L182" i="1"/>
  <c r="L360" i="1"/>
  <c r="M349" i="1"/>
  <c r="L344" i="1"/>
  <c r="M333" i="1"/>
  <c r="L328" i="1"/>
  <c r="M317" i="1"/>
  <c r="L312" i="1"/>
  <c r="M301" i="1"/>
  <c r="L296" i="1"/>
  <c r="M285" i="1"/>
  <c r="L280" i="1"/>
  <c r="M269" i="1"/>
  <c r="L264" i="1"/>
  <c r="M253" i="1"/>
  <c r="L248" i="1"/>
  <c r="M237" i="1"/>
  <c r="L232" i="1"/>
  <c r="M221" i="1"/>
  <c r="L216" i="1"/>
  <c r="M205" i="1"/>
  <c r="L200" i="1"/>
  <c r="M189" i="1"/>
  <c r="L184" i="1"/>
  <c r="M173" i="1"/>
  <c r="L168" i="1"/>
  <c r="M157" i="1"/>
  <c r="L152" i="1"/>
  <c r="M141" i="1"/>
  <c r="L136" i="1"/>
  <c r="M125" i="1"/>
  <c r="L120" i="1"/>
  <c r="M109" i="1"/>
  <c r="L104" i="1"/>
  <c r="M93" i="1"/>
  <c r="L88" i="1"/>
  <c r="M77" i="1"/>
  <c r="L72" i="1"/>
  <c r="M61" i="1"/>
  <c r="L56" i="1"/>
  <c r="M45" i="1"/>
  <c r="L40" i="1"/>
  <c r="M29" i="1"/>
  <c r="L24" i="1"/>
  <c r="M13" i="1"/>
  <c r="L8" i="1"/>
  <c r="M242" i="1"/>
  <c r="M2" i="1"/>
  <c r="L236" i="1"/>
  <c r="M177" i="1"/>
  <c r="L108" i="1"/>
  <c r="M49" i="1"/>
  <c r="L294" i="1"/>
  <c r="M354" i="1"/>
  <c r="L349" i="1"/>
  <c r="M338" i="1"/>
  <c r="L333" i="1"/>
  <c r="M322" i="1"/>
  <c r="L317" i="1"/>
  <c r="M306" i="1"/>
  <c r="L301" i="1"/>
  <c r="M290" i="1"/>
  <c r="L285" i="1"/>
  <c r="M274" i="1"/>
  <c r="L269" i="1"/>
  <c r="L221" i="1"/>
  <c r="M210" i="1"/>
  <c r="L205" i="1"/>
  <c r="M194" i="1"/>
  <c r="L173" i="1"/>
  <c r="L125" i="1"/>
  <c r="L93" i="1"/>
  <c r="M66" i="1"/>
  <c r="L29" i="1"/>
  <c r="M12" i="1"/>
  <c r="L220" i="1"/>
  <c r="L76" i="1"/>
  <c r="L262" i="1"/>
  <c r="M359" i="1"/>
  <c r="L354" i="1"/>
  <c r="M343" i="1"/>
  <c r="L338" i="1"/>
  <c r="M327" i="1"/>
  <c r="L322" i="1"/>
  <c r="M311" i="1"/>
  <c r="L306" i="1"/>
  <c r="M295" i="1"/>
  <c r="L290" i="1"/>
  <c r="M279" i="1"/>
  <c r="L274" i="1"/>
  <c r="M263" i="1"/>
  <c r="L258" i="1"/>
  <c r="M247" i="1"/>
  <c r="L242" i="1"/>
  <c r="M231" i="1"/>
  <c r="L226" i="1"/>
  <c r="M215" i="1"/>
  <c r="L210" i="1"/>
  <c r="M199" i="1"/>
  <c r="L194" i="1"/>
  <c r="M183" i="1"/>
  <c r="L178" i="1"/>
  <c r="M167" i="1"/>
  <c r="L162" i="1"/>
  <c r="M151" i="1"/>
  <c r="L146" i="1"/>
  <c r="M135" i="1"/>
  <c r="L130" i="1"/>
  <c r="M119" i="1"/>
  <c r="L114" i="1"/>
  <c r="M103" i="1"/>
  <c r="L98" i="1"/>
  <c r="M87" i="1"/>
  <c r="L82" i="1"/>
  <c r="M71" i="1"/>
  <c r="L66" i="1"/>
  <c r="M55" i="1"/>
  <c r="L50" i="1"/>
  <c r="M39" i="1"/>
  <c r="L34" i="1"/>
  <c r="M23" i="1"/>
  <c r="L18" i="1"/>
  <c r="M7" i="1"/>
  <c r="L359" i="1"/>
  <c r="M348" i="1"/>
  <c r="L343" i="1"/>
  <c r="M332" i="1"/>
  <c r="L327" i="1"/>
  <c r="M316" i="1"/>
  <c r="L311" i="1"/>
  <c r="M300" i="1"/>
  <c r="L295" i="1"/>
  <c r="M284" i="1"/>
  <c r="L279" i="1"/>
  <c r="M268" i="1"/>
  <c r="L263" i="1"/>
  <c r="M252" i="1"/>
  <c r="L247" i="1"/>
  <c r="M236" i="1"/>
  <c r="L231" i="1"/>
  <c r="M220" i="1"/>
  <c r="L215" i="1"/>
  <c r="M204" i="1"/>
  <c r="L199" i="1"/>
  <c r="M188" i="1"/>
  <c r="L183" i="1"/>
  <c r="M172" i="1"/>
  <c r="L167" i="1"/>
  <c r="M156" i="1"/>
  <c r="L151" i="1"/>
  <c r="M140" i="1"/>
  <c r="L135" i="1"/>
  <c r="M124" i="1"/>
  <c r="L119" i="1"/>
  <c r="M108" i="1"/>
  <c r="L103" i="1"/>
  <c r="M92" i="1"/>
  <c r="L87" i="1"/>
  <c r="M76" i="1"/>
  <c r="L71" i="1"/>
  <c r="M60" i="1"/>
  <c r="L55" i="1"/>
  <c r="M129" i="1"/>
  <c r="L28" i="1"/>
  <c r="M267" i="1"/>
  <c r="M353" i="1"/>
  <c r="L348" i="1"/>
  <c r="M337" i="1"/>
  <c r="L332" i="1"/>
  <c r="M321" i="1"/>
  <c r="L316" i="1"/>
  <c r="M305" i="1"/>
  <c r="L300" i="1"/>
  <c r="M289" i="1"/>
  <c r="L284" i="1"/>
  <c r="M273" i="1"/>
  <c r="L268" i="1"/>
  <c r="M257" i="1"/>
  <c r="L204" i="1"/>
  <c r="M193" i="1"/>
  <c r="L188" i="1"/>
  <c r="L140" i="1"/>
  <c r="M358" i="1"/>
  <c r="L353" i="1"/>
  <c r="M342" i="1"/>
  <c r="L337" i="1"/>
  <c r="M326" i="1"/>
  <c r="L321" i="1"/>
  <c r="M310" i="1"/>
  <c r="L305" i="1"/>
  <c r="M294" i="1"/>
  <c r="L289" i="1"/>
  <c r="M278" i="1"/>
  <c r="L273" i="1"/>
  <c r="M262" i="1"/>
  <c r="L257" i="1"/>
  <c r="M246" i="1"/>
  <c r="L241" i="1"/>
  <c r="M230" i="1"/>
  <c r="L225" i="1"/>
  <c r="M214" i="1"/>
  <c r="L209" i="1"/>
  <c r="M198" i="1"/>
  <c r="L193" i="1"/>
  <c r="M182" i="1"/>
  <c r="L177" i="1"/>
  <c r="M166" i="1"/>
  <c r="L161" i="1"/>
  <c r="M150" i="1"/>
  <c r="L145" i="1"/>
  <c r="M134" i="1"/>
  <c r="L129" i="1"/>
  <c r="M118" i="1"/>
  <c r="L113" i="1"/>
  <c r="M102" i="1"/>
  <c r="L97" i="1"/>
  <c r="M86" i="1"/>
  <c r="L81" i="1"/>
  <c r="M70" i="1"/>
  <c r="L65" i="1"/>
  <c r="M54" i="1"/>
  <c r="L49" i="1"/>
  <c r="M38" i="1"/>
  <c r="L33" i="1"/>
  <c r="M22" i="1"/>
  <c r="L17" i="1"/>
  <c r="M6" i="1"/>
  <c r="H2" i="1"/>
  <c r="L358" i="1"/>
  <c r="M347" i="1"/>
  <c r="L342" i="1"/>
  <c r="L326" i="1"/>
  <c r="M315" i="1"/>
  <c r="L310" i="1"/>
  <c r="M299" i="1"/>
  <c r="L278" i="1"/>
  <c r="M235" i="1"/>
  <c r="M219" i="1"/>
  <c r="L214" i="1"/>
  <c r="M331" i="1"/>
  <c r="L112" i="1"/>
  <c r="L27" i="1"/>
  <c r="M288" i="1"/>
  <c r="M27" i="1"/>
  <c r="L171" i="1"/>
  <c r="L32" i="1"/>
  <c r="L251" i="1"/>
  <c r="M256" i="1"/>
  <c r="M91" i="1"/>
  <c r="L304" i="1"/>
  <c r="L128" i="1"/>
  <c r="M224" i="1"/>
  <c r="L267" i="1"/>
  <c r="M352" i="1"/>
  <c r="L102" i="1"/>
  <c r="M53" i="1"/>
  <c r="L198" i="1"/>
  <c r="M245" i="1"/>
  <c r="L54" i="1"/>
  <c r="L86" i="1"/>
  <c r="M208" i="1"/>
  <c r="M5" i="1"/>
  <c r="M213" i="1"/>
  <c r="L64" i="1"/>
  <c r="M149" i="1"/>
  <c r="M37" i="1"/>
  <c r="L123" i="1"/>
  <c r="M69" i="1"/>
  <c r="M123" i="1"/>
  <c r="M11" i="1"/>
  <c r="L16" i="1"/>
  <c r="L43" i="1"/>
  <c r="L70" i="1"/>
  <c r="M101" i="1"/>
  <c r="M128" i="1"/>
  <c r="M155" i="1"/>
  <c r="L187" i="1"/>
  <c r="M229" i="1"/>
  <c r="L272" i="1"/>
  <c r="M357" i="1"/>
  <c r="L48" i="1"/>
  <c r="M133" i="1"/>
  <c r="M197" i="1"/>
  <c r="L80" i="1"/>
  <c r="M165" i="1"/>
  <c r="L22" i="1"/>
  <c r="L288" i="1"/>
  <c r="M112" i="1"/>
  <c r="L331" i="1"/>
  <c r="L144" i="1"/>
  <c r="L59" i="1"/>
  <c r="M336" i="1"/>
  <c r="M59" i="1"/>
  <c r="M176" i="1"/>
  <c r="M261" i="1"/>
  <c r="L96" i="1"/>
  <c r="L11" i="1"/>
  <c r="M96" i="1"/>
  <c r="L155" i="1"/>
  <c r="M16" i="1"/>
  <c r="M43" i="1"/>
  <c r="L160" i="1"/>
  <c r="L192" i="1"/>
  <c r="M272" i="1"/>
  <c r="L3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<sst xmlns="http://schemas.openxmlformats.org/spreadsheetml/2006/main" count="11" uniqueCount="11">
  <si>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*</t>
  </si>
  <si>
    <t>⇘</t>
  </si>
  <si>
    <t>Semi-Major Axis (a)</t>
  </si>
  <si>
    <t>Eccentricity (e)</t>
  </si>
  <si>
    <t>Apsis (Q)</t>
  </si>
  <si>
    <t>θ</t>
  </si>
  <si>
    <t>x</t>
  </si>
  <si>
    <t>y</t>
  </si>
  <si>
    <t>Plot List</t>
  </si>
  <si>
    <t>Select:</t>
  </si>
  <si>
    <t>Earth 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</si>
</sst>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0">
    <font>
      <sz val="11"/>
      <color theme="1"/>
      <name val="Aptos Narrow"/>
      <family val="2"/>
      <scheme val="minor"/>
    </font>
    <font>
      <sz val="11"/>
      <color theme="0"/>
      <name val="Aptos Display"/>
      <family val="2"/>
      <scheme val="major"/>
    </font>
    <font>
      <b/>
      <sz val="11"/>
      <color theme="0"/>
      <name val="Aptos Display"/>
      <family val="2"/>
      <scheme val="major"/>
    </font>
    <font>
      <sz val="11"/>
      <color theme="1"/>
      <name val="Aptos Display"/>
      <family val="2"/>
      <scheme val="major"/>
    </font>
    <font>
      <b/>
      <u/>
      <sz val="11"/>
      <color theme="1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sz val="11"/>
      <color theme="1"/>
      <name val="Courier New"/>
      <family val="3"/>
    </font>
    <font>
      <sz val="9"/>
      <color theme="1"/>
      <name val="Courier New"/>
      <family val="3"/>
    </font>
    <font>
      <sz val="8"/>
      <color theme="1"/>
      <name val="Aptos Display"/>
      <family val="2"/>
      <scheme val="major"/>
    </font>
    <font>
      <sz val="8"/>
      <color theme="1"/>
      <name val="Astromoony"/>
    </font>
  </fonts>
  <fills count="6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lightUp">
        <fgColor theme="0" tint="-0.24994659260841701"/>
        <bgColor theme="1" tint="0.14999847407452621"/>
      </patternFill>
    </fill>
    <fill>
      <patternFill patternType="lightUp">
        <fgColor theme="0" tint="-0.24994659260841701"/>
        <bgColor indexed="65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164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1" fillId="2" borderId="0" xfId="0" applyFont="1" applyFill="1"/>
    <xf numFmtId="1" fontId="2" fillId="2" borderId="0" xfId="0" applyNumberFormat="1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horizontal="right"/>
    </xf>
    <xf numFmtId="0" fontId="5" fillId="5" borderId="0" xfId="0" applyFont="1" applyFill="1" applyAlignment="1">
      <alignment horizontal="center"/>
    </xf>
    <xf numFmtId="164" fontId="6" fillId="5" borderId="0" xfId="0" applyNumberFormat="1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3" fillId="4" borderId="0" xfId="0" applyFont="1" applyFill="1"/>
    <xf numFmtId="164" fontId="3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0" fontId="3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Orbital Plot</c:v>
          </c:tx>
          <c:spPr>
            <a:ln w="19050" cap="rnd">
              <a:solidFill>
                <a:srgbClr val="4DA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DA6FF"/>
              </a:solidFill>
              <a:ln w="9525">
                <a:solidFill>
                  <a:srgbClr val="4DA6FF"/>
                </a:solidFill>
              </a:ln>
              <a:effectLst/>
            </c:spPr>
          </c:marker>
          <c:xVal>
            <c:numRef>
              <c:f>'Orbital Plotter'!$L$2:$L$362</c:f>
              <c:numCache>
                <c:formatCode>0.000</c:formatCode>
                <c:ptCount val="361"/>
                <c:pt idx="0">
                  <c:v>0.9830000000000001</c:v>
                </c:pt>
                <c:pt idx="1">
                  <c:v>0.98285278658561481</c:v>
                </c:pt>
                <c:pt idx="2">
                  <c:v>0.98241118668835337</c:v>
                </c:pt>
                <c:pt idx="3">
                  <c:v>0.98167532133874424</c:v>
                </c:pt>
                <c:pt idx="4">
                  <c:v>0.98064539223048386</c:v>
                </c:pt>
                <c:pt idx="5">
                  <c:v>0.97932168168464784</c:v>
                </c:pt>
                <c:pt idx="6">
                  <c:v>0.97770455259956612</c:v>
                </c:pt>
                <c:pt idx="7">
                  <c:v>0.97579444838633755</c:v>
                </c:pt>
                <c:pt idx="8">
                  <c:v>0.97359189288995618</c:v>
                </c:pt>
                <c:pt idx="9">
                  <c:v>0.97109749029601389</c:v>
                </c:pt>
                <c:pt idx="10">
                  <c:v>0.96831192502294239</c:v>
                </c:pt>
                <c:pt idx="11">
                  <c:v>0.96523596159973934</c:v>
                </c:pt>
                <c:pt idx="12">
                  <c:v>0.96187044452913373</c:v>
                </c:pt>
                <c:pt idx="13">
                  <c:v>0.95821629813612852</c:v>
                </c:pt>
                <c:pt idx="14">
                  <c:v>0.95427452640185273</c:v>
                </c:pt>
                <c:pt idx="15">
                  <c:v>0.95004621278265766</c:v>
                </c:pt>
                <c:pt idx="16">
                  <c:v>0.94553252001437726</c:v>
                </c:pt>
                <c:pt idx="17">
                  <c:v>0.94073468990167164</c:v>
                </c:pt>
                <c:pt idx="18">
                  <c:v>0.93565404309236899</c:v>
                </c:pt>
                <c:pt idx="19">
                  <c:v>0.93029197883670911</c:v>
                </c:pt>
                <c:pt idx="20">
                  <c:v>0.92464997473139676</c:v>
                </c:pt>
                <c:pt idx="21">
                  <c:v>0.91872958644835923</c:v>
                </c:pt>
                <c:pt idx="22">
                  <c:v>0.91253244744810025</c:v>
                </c:pt>
                <c:pt idx="23">
                  <c:v>0.90606026867754497</c:v>
                </c:pt>
                <c:pt idx="24">
                  <c:v>0.89931483825225123</c:v>
                </c:pt>
                <c:pt idx="25">
                  <c:v>0.89229802112287837</c:v>
                </c:pt>
                <c:pt idx="26">
                  <c:v>0.88501175872577931</c:v>
                </c:pt>
                <c:pt idx="27">
                  <c:v>0.87745806861759745</c:v>
                </c:pt>
                <c:pt idx="28">
                  <c:v>0.86963904409373294</c:v>
                </c:pt>
                <c:pt idx="29">
                  <c:v>0.86155685379054658</c:v>
                </c:pt>
                <c:pt idx="30">
                  <c:v>0.85321374127116545</c:v>
                </c:pt>
                <c:pt idx="31">
                  <c:v>0.84461202459474805</c:v>
                </c:pt>
                <c:pt idx="32">
                  <c:v>0.83575409586907279</c:v>
                </c:pt>
                <c:pt idx="33">
                  <c:v>0.82664242078630124</c:v>
                </c:pt>
                <c:pt idx="34">
                  <c:v>0.81727953814177401</c:v>
                </c:pt>
                <c:pt idx="35">
                  <c:v>0.80766805933569241</c:v>
                </c:pt>
                <c:pt idx="36">
                  <c:v>0.79781066785753674</c:v>
                </c:pt>
                <c:pt idx="37">
                  <c:v>0.78771011875307306</c:v>
                </c:pt>
                <c:pt idx="38">
                  <c:v>0.77736923807380087</c:v>
                </c:pt>
                <c:pt idx="39">
                  <c:v>0.76679092230869061</c:v>
                </c:pt>
                <c:pt idx="40">
                  <c:v>0.75597813779806267</c:v>
                </c:pt>
                <c:pt idx="41">
                  <c:v>0.74493392012945925</c:v>
                </c:pt>
                <c:pt idx="42">
                  <c:v>0.73366137351536143</c:v>
                </c:pt>
                <c:pt idx="43">
                  <c:v>0.72216367015260574</c:v>
                </c:pt>
                <c:pt idx="44">
                  <c:v>0.71044404956335361</c:v>
                </c:pt>
                <c:pt idx="45">
                  <c:v>0.69850581791747368</c:v>
                </c:pt>
                <c:pt idx="46">
                  <c:v>0.6863523473361931</c:v>
                </c:pt>
                <c:pt idx="47">
                  <c:v>0.67398707517688317</c:v>
                </c:pt>
                <c:pt idx="48">
                  <c:v>0.66141350329884363</c:v>
                </c:pt>
                <c:pt idx="49">
                  <c:v>0.648635197309953</c:v>
                </c:pt>
                <c:pt idx="50">
                  <c:v>0.63565578579406223</c:v>
                </c:pt>
                <c:pt idx="51">
                  <c:v>0.62247895951900256</c:v>
                </c:pt>
                <c:pt idx="52">
                  <c:v>0.60910847062509643</c:v>
                </c:pt>
                <c:pt idx="53">
                  <c:v>0.59554813179405297</c:v>
                </c:pt>
                <c:pt idx="54">
                  <c:v>0.58180181539814435</c:v>
                </c:pt>
                <c:pt idx="55">
                  <c:v>0.56787345262956102</c:v>
                </c:pt>
                <c:pt idx="56">
                  <c:v>0.55376703260984861</c:v>
                </c:pt>
                <c:pt idx="57">
                  <c:v>0.53948660147934258</c:v>
                </c:pt>
                <c:pt idx="58">
                  <c:v>0.52503626146651594</c:v>
                </c:pt>
                <c:pt idx="59">
                  <c:v>0.51042016993717021</c:v>
                </c:pt>
                <c:pt idx="60">
                  <c:v>0.49564253842340122</c:v>
                </c:pt>
                <c:pt idx="61">
                  <c:v>0.48070763163228608</c:v>
                </c:pt>
                <c:pt idx="62">
                  <c:v>0.46561976643424369</c:v>
                </c:pt>
                <c:pt idx="63">
                  <c:v>0.45038331083102706</c:v>
                </c:pt>
                <c:pt idx="64">
                  <c:v>0.43500268290332422</c:v>
                </c:pt>
                <c:pt idx="65">
                  <c:v>0.41948234973794479</c:v>
                </c:pt>
                <c:pt idx="66">
                  <c:v>0.40382682633458744</c:v>
                </c:pt>
                <c:pt idx="67">
                  <c:v>0.38804067449219104</c:v>
                </c:pt>
                <c:pt idx="68">
                  <c:v>0.37212850167488309</c:v>
                </c:pt>
                <c:pt idx="69">
                  <c:v>0.35609495985755313</c:v>
                </c:pt>
                <c:pt idx="70">
                  <c:v>0.33994474435108962</c:v>
                </c:pt>
                <c:pt idx="71">
                  <c:v>0.32368259260733234</c:v>
                </c:pt>
                <c:pt idx="72">
                  <c:v>0.30731328300380245</c:v>
                </c:pt>
                <c:pt idx="73">
                  <c:v>0.29084163360829107</c:v>
                </c:pt>
                <c:pt idx="74">
                  <c:v>0.27427250092339478</c:v>
                </c:pt>
                <c:pt idx="75">
                  <c:v>0.25761077861110598</c:v>
                </c:pt>
                <c:pt idx="76">
                  <c:v>0.2408613961975761</c:v>
                </c:pt>
                <c:pt idx="77">
                  <c:v>0.22402931775818763</c:v>
                </c:pt>
                <c:pt idx="78">
                  <c:v>0.20711954058308468</c:v>
                </c:pt>
                <c:pt idx="79">
                  <c:v>0.19013709382332492</c:v>
                </c:pt>
                <c:pt idx="80">
                  <c:v>0.1730870371178389</c:v>
                </c:pt>
                <c:pt idx="81">
                  <c:v>0.15597445920138747</c:v>
                </c:pt>
                <c:pt idx="82">
                  <c:v>0.1388044764937349</c:v>
                </c:pt>
                <c:pt idx="83">
                  <c:v>0.12158223167026583</c:v>
                </c:pt>
                <c:pt idx="84">
                  <c:v>0.10431289221429231</c:v>
                </c:pt>
                <c:pt idx="85">
                  <c:v>8.7001648951315486E-2</c:v>
                </c:pt>
                <c:pt idx="86">
                  <c:v>6.9653714565521593E-2</c:v>
                </c:pt>
                <c:pt idx="87">
                  <c:v>5.2274322098811873E-2</c:v>
                </c:pt>
                <c:pt idx="88">
                  <c:v>3.486872343268025E-2</c:v>
                </c:pt>
                <c:pt idx="89">
                  <c:v>1.7442187753276189E-2</c:v>
                </c:pt>
                <c:pt idx="90">
                  <c:v>6.1239719350257574E-17</c:v>
                </c:pt>
                <c:pt idx="91">
                  <c:v>-1.7452540701995908E-2</c:v>
                </c:pt>
                <c:pt idx="92">
                  <c:v>-3.4910122625014341E-2</c:v>
                </c:pt>
                <c:pt idx="93">
                  <c:v>-5.2367423037320462E-2</c:v>
                </c:pt>
                <c:pt idx="94">
                  <c:v>-6.9819109816526115E-2</c:v>
                </c:pt>
                <c:pt idx="95">
                  <c:v>-8.7259843077406904E-2</c:v>
                </c:pt>
                <c:pt idx="96">
                  <c:v>-0.10468427681369076</c:v>
                </c:pt>
                <c:pt idx="97">
                  <c:v>-0.12208706055333757</c:v>
                </c:pt>
                <c:pt idx="98">
                  <c:v>-0.13946284102681272</c:v>
                </c:pt>
                <c:pt idx="99">
                  <c:v>-0.15680626384783408</c:v>
                </c:pt>
                <c:pt idx="100">
                  <c:v>-0.17411197520606145</c:v>
                </c:pt>
                <c:pt idx="101">
                  <c:v>-0.19137462357117205</c:v>
                </c:pt>
                <c:pt idx="102">
                  <c:v>-0.20858886140775065</c:v>
                </c:pt>
                <c:pt idx="103">
                  <c:v>-0.22574934690040527</c:v>
                </c:pt>
                <c:pt idx="104">
                  <c:v>-0.24285074568850035</c:v>
                </c:pt>
                <c:pt idx="105">
                  <c:v>-0.25988773260988135</c:v>
                </c:pt>
                <c:pt idx="106">
                  <c:v>-0.27685499345294967</c:v>
                </c:pt>
                <c:pt idx="107">
                  <c:v>-0.293747226716427</c:v>
                </c:pt>
                <c:pt idx="108">
                  <c:v>-0.31055914537612933</c:v>
                </c:pt>
                <c:pt idx="109">
                  <c:v>-0.32728547865806318</c:v>
                </c:pt>
                <c:pt idx="110">
                  <c:v>-0.34392097381712744</c:v>
                </c:pt>
                <c:pt idx="111">
                  <c:v>-0.36046039792069878</c:v>
                </c:pt>
                <c:pt idx="112">
                  <c:v>-0.37689853963635717</c:v>
                </c:pt>
                <c:pt idx="113">
                  <c:v>-0.39323021102299494</c:v>
                </c:pt>
                <c:pt idx="114">
                  <c:v>-0.40945024932453711</c:v>
                </c:pt>
                <c:pt idx="115">
                  <c:v>-0.42555351876548753</c:v>
                </c:pt>
                <c:pt idx="116">
                  <c:v>-0.44153491234749964</c:v>
                </c:pt>
                <c:pt idx="117">
                  <c:v>-0.45738935364615718</c:v>
                </c:pt>
                <c:pt idx="118">
                  <c:v>-0.47311179860714297</c:v>
                </c:pt>
                <c:pt idx="119">
                  <c:v>-0.48869723734094772</c:v>
                </c:pt>
                <c:pt idx="120">
                  <c:v>-0.50414069591527966</c:v>
                </c:pt>
                <c:pt idx="121">
                  <c:v>-0.51943723814430276</c:v>
                </c:pt>
                <c:pt idx="122">
                  <c:v>-0.53458196737383379</c:v>
                </c:pt>
                <c:pt idx="123">
                  <c:v>-0.54957002826162271</c:v>
                </c:pt>
                <c:pt idx="124">
                  <c:v>-0.56439660855181084</c:v>
                </c:pt>
                <c:pt idx="125">
                  <c:v>-0.57905694084267967</c:v>
                </c:pt>
                <c:pt idx="126">
                  <c:v>-0.59354630434677202</c:v>
                </c:pt>
                <c:pt idx="127">
                  <c:v>-0.60786002664247718</c:v>
                </c:pt>
                <c:pt idx="128">
                  <c:v>-0.62199348541615151</c:v>
                </c:pt>
                <c:pt idx="129">
                  <c:v>-0.63594211019385216</c:v>
                </c:pt>
                <c:pt idx="130">
                  <c:v>-0.64970138406174849</c:v>
                </c:pt>
                <c:pt idx="131">
                  <c:v>-0.66326684537427216</c:v>
                </c:pt>
                <c:pt idx="132">
                  <c:v>-0.67663408944907477</c:v>
                </c:pt>
                <c:pt idx="133">
                  <c:v>-0.68979877024783687</c:v>
                </c:pt>
                <c:pt idx="134">
                  <c:v>-0.7027566020419993</c:v>
                </c:pt>
                <c:pt idx="135">
                  <c:v>-0.71550336106245815</c:v>
                </c:pt>
                <c:pt idx="136">
                  <c:v>-0.7280348871322917</c:v>
                </c:pt>
                <c:pt idx="137">
                  <c:v>-0.74034708528156434</c:v>
                </c:pt>
                <c:pt idx="138">
                  <c:v>-0.75243592734327458</c:v>
                </c:pt>
                <c:pt idx="139">
                  <c:v>-0.76429745352950362</c:v>
                </c:pt>
                <c:pt idx="140">
                  <c:v>-0.77592777398682955</c:v>
                </c:pt>
                <c:pt idx="141">
                  <c:v>-0.78732307033008164</c:v>
                </c:pt>
                <c:pt idx="142">
                  <c:v>-0.79847959715350247</c:v>
                </c:pt>
                <c:pt idx="143">
                  <c:v>-0.80939368351840757</c:v>
                </c:pt>
                <c:pt idx="144">
                  <c:v>-0.82006173441642416</c:v>
                </c:pt>
                <c:pt idx="145">
                  <c:v>-0.83048023220741551</c:v>
                </c:pt>
                <c:pt idx="146">
                  <c:v>-0.84064573803118736</c:v>
                </c:pt>
                <c:pt idx="147">
                  <c:v>-0.85055489319210487</c:v>
                </c:pt>
                <c:pt idx="148">
                  <c:v>-0.86020442051574009</c:v>
                </c:pt>
                <c:pt idx="149">
                  <c:v>-0.86959112567669294</c:v>
                </c:pt>
                <c:pt idx="150">
                  <c:v>-0.87871189849674414</c:v>
                </c:pt>
                <c:pt idx="151">
                  <c:v>-0.88756371421249802</c:v>
                </c:pt>
                <c:pt idx="152">
                  <c:v>-0.89614363471170821</c:v>
                </c:pt>
                <c:pt idx="153">
                  <c:v>-0.90444880973747566</c:v>
                </c:pt>
                <c:pt idx="154">
                  <c:v>-0.91247647805954168</c:v>
                </c:pt>
                <c:pt idx="155">
                  <c:v>-0.92022396861189881</c:v>
                </c:pt>
                <c:pt idx="156">
                  <c:v>-0.92768870159598138</c:v>
                </c:pt>
                <c:pt idx="157">
                  <c:v>-0.93486818954869655</c:v>
                </c:pt>
                <c:pt idx="158">
                  <c:v>-0.94176003837458855</c:v>
                </c:pt>
                <c:pt idx="159">
                  <c:v>-0.94836194834145149</c:v>
                </c:pt>
                <c:pt idx="160">
                  <c:v>-0.95467171503871473</c:v>
                </c:pt>
                <c:pt idx="161">
                  <c:v>-0.96068723029796088</c:v>
                </c:pt>
                <c:pt idx="162">
                  <c:v>-0.96640648307495569</c:v>
                </c:pt>
                <c:pt idx="163">
                  <c:v>-0.97182756029258599</c:v>
                </c:pt>
                <c:pt idx="164">
                  <c:v>-0.97694864764413658</c:v>
                </c:pt>
                <c:pt idx="165">
                  <c:v>-0.9817680303563554</c:v>
                </c:pt>
                <c:pt idx="166">
                  <c:v>-0.98628409391178495</c:v>
                </c:pt>
                <c:pt idx="167">
                  <c:v>-0.9904953247298629</c:v>
                </c:pt>
                <c:pt idx="168">
                  <c:v>-0.99440031080632429</c:v>
                </c:pt>
                <c:pt idx="169">
                  <c:v>-0.99799774231046057</c:v>
                </c:pt>
                <c:pt idx="170">
                  <c:v>-1.0012864121398257</c:v>
                </c:pt>
                <c:pt idx="171">
                  <c:v>-1.0042652164320029</c:v>
                </c:pt>
                <c:pt idx="172">
                  <c:v>-1.0069331550330738</c:v>
                </c:pt>
                <c:pt idx="173">
                  <c:v>-1.0092893319224665</c:v>
                </c:pt>
                <c:pt idx="174">
                  <c:v>-1.0113329555938875</c:v>
                </c:pt>
                <c:pt idx="175">
                  <c:v>-1.0130633393920665</c:v>
                </c:pt>
                <c:pt idx="176">
                  <c:v>-1.014479901805081</c:v>
                </c:pt>
                <c:pt idx="177">
                  <c:v>-1.0155821667120577</c:v>
                </c:pt>
                <c:pt idx="178">
                  <c:v>-1.0163697635860747</c:v>
                </c:pt>
                <c:pt idx="179">
                  <c:v>-1.0168424276521195</c:v>
                </c:pt>
                <c:pt idx="180">
                  <c:v>-1.0170000000000001</c:v>
                </c:pt>
                <c:pt idx="181">
                  <c:v>-1.0168424276521195</c:v>
                </c:pt>
                <c:pt idx="182">
                  <c:v>-1.0163697635860747</c:v>
                </c:pt>
                <c:pt idx="183">
                  <c:v>-1.0155821667120577</c:v>
                </c:pt>
                <c:pt idx="184">
                  <c:v>-1.014479901805081</c:v>
                </c:pt>
                <c:pt idx="185">
                  <c:v>-1.0130633393920665</c:v>
                </c:pt>
                <c:pt idx="186">
                  <c:v>-1.0113329555938875</c:v>
                </c:pt>
                <c:pt idx="187">
                  <c:v>-1.0092893319224667</c:v>
                </c:pt>
                <c:pt idx="188">
                  <c:v>-1.0069331550330738</c:v>
                </c:pt>
                <c:pt idx="189">
                  <c:v>-1.0042652164320032</c:v>
                </c:pt>
                <c:pt idx="190">
                  <c:v>-1.0012864121398257</c:v>
                </c:pt>
                <c:pt idx="191">
                  <c:v>-0.99799774231046057</c:v>
                </c:pt>
                <c:pt idx="192">
                  <c:v>-0.99440031080632418</c:v>
                </c:pt>
                <c:pt idx="193">
                  <c:v>-0.99049532472986301</c:v>
                </c:pt>
                <c:pt idx="194">
                  <c:v>-0.98628409391178495</c:v>
                </c:pt>
                <c:pt idx="195">
                  <c:v>-0.98176803035635551</c:v>
                </c:pt>
                <c:pt idx="196">
                  <c:v>-0.97694864764413658</c:v>
                </c:pt>
                <c:pt idx="197">
                  <c:v>-0.97182756029258588</c:v>
                </c:pt>
                <c:pt idx="198">
                  <c:v>-0.9664064830749558</c:v>
                </c:pt>
                <c:pt idx="199">
                  <c:v>-0.96068723029796077</c:v>
                </c:pt>
                <c:pt idx="200">
                  <c:v>-0.95467171503871484</c:v>
                </c:pt>
                <c:pt idx="201">
                  <c:v>-0.94836194834145149</c:v>
                </c:pt>
                <c:pt idx="202">
                  <c:v>-0.94176003837458866</c:v>
                </c:pt>
                <c:pt idx="203">
                  <c:v>-0.93486818954869655</c:v>
                </c:pt>
                <c:pt idx="204">
                  <c:v>-0.92768870159598149</c:v>
                </c:pt>
                <c:pt idx="205">
                  <c:v>-0.92022396861189892</c:v>
                </c:pt>
                <c:pt idx="206">
                  <c:v>-0.91247647805954157</c:v>
                </c:pt>
                <c:pt idx="207">
                  <c:v>-0.90444880973747577</c:v>
                </c:pt>
                <c:pt idx="208">
                  <c:v>-0.8961436347117081</c:v>
                </c:pt>
                <c:pt idx="209">
                  <c:v>-0.88756371421249813</c:v>
                </c:pt>
                <c:pt idx="210">
                  <c:v>-0.87871189849674403</c:v>
                </c:pt>
                <c:pt idx="211">
                  <c:v>-0.86959112567669306</c:v>
                </c:pt>
                <c:pt idx="212">
                  <c:v>-0.8602044205157402</c:v>
                </c:pt>
                <c:pt idx="213">
                  <c:v>-0.85055489319210498</c:v>
                </c:pt>
                <c:pt idx="214">
                  <c:v>-0.84064573803118758</c:v>
                </c:pt>
                <c:pt idx="215">
                  <c:v>-0.8304802322074154</c:v>
                </c:pt>
                <c:pt idx="216">
                  <c:v>-0.82006173441642438</c:v>
                </c:pt>
                <c:pt idx="217">
                  <c:v>-0.80939368351840746</c:v>
                </c:pt>
                <c:pt idx="218">
                  <c:v>-0.79847959715350258</c:v>
                </c:pt>
                <c:pt idx="219">
                  <c:v>-0.78732307033008153</c:v>
                </c:pt>
                <c:pt idx="220">
                  <c:v>-0.77592777398682966</c:v>
                </c:pt>
                <c:pt idx="221">
                  <c:v>-0.76429745352950373</c:v>
                </c:pt>
                <c:pt idx="222">
                  <c:v>-0.7524359273432748</c:v>
                </c:pt>
                <c:pt idx="223">
                  <c:v>-0.74034708528156445</c:v>
                </c:pt>
                <c:pt idx="224">
                  <c:v>-0.72803488713229159</c:v>
                </c:pt>
                <c:pt idx="225">
                  <c:v>-0.71550336106245838</c:v>
                </c:pt>
                <c:pt idx="226">
                  <c:v>-0.70275660204199919</c:v>
                </c:pt>
                <c:pt idx="227">
                  <c:v>-0.68979877024783709</c:v>
                </c:pt>
                <c:pt idx="228">
                  <c:v>-0.67663408944907466</c:v>
                </c:pt>
                <c:pt idx="229">
                  <c:v>-0.66326684537427227</c:v>
                </c:pt>
                <c:pt idx="230">
                  <c:v>-0.6497013840617486</c:v>
                </c:pt>
                <c:pt idx="231">
                  <c:v>-0.63594211019385272</c:v>
                </c:pt>
                <c:pt idx="232">
                  <c:v>-0.62199348541615129</c:v>
                </c:pt>
                <c:pt idx="233">
                  <c:v>-0.60786002664247707</c:v>
                </c:pt>
                <c:pt idx="234">
                  <c:v>-0.59354630434677225</c:v>
                </c:pt>
                <c:pt idx="235">
                  <c:v>-0.57905694084267989</c:v>
                </c:pt>
                <c:pt idx="236">
                  <c:v>-0.56439660855181073</c:v>
                </c:pt>
                <c:pt idx="237">
                  <c:v>-0.5495700282616226</c:v>
                </c:pt>
                <c:pt idx="238">
                  <c:v>-0.53458196737383401</c:v>
                </c:pt>
                <c:pt idx="239">
                  <c:v>-0.51943723814430298</c:v>
                </c:pt>
                <c:pt idx="240">
                  <c:v>-0.50414069591528032</c:v>
                </c:pt>
                <c:pt idx="241">
                  <c:v>-0.48869723734094755</c:v>
                </c:pt>
                <c:pt idx="242">
                  <c:v>-0.47311179860714281</c:v>
                </c:pt>
                <c:pt idx="243">
                  <c:v>-0.4573893536461574</c:v>
                </c:pt>
                <c:pt idx="244">
                  <c:v>-0.44153491234749986</c:v>
                </c:pt>
                <c:pt idx="245">
                  <c:v>-0.42555351876548736</c:v>
                </c:pt>
                <c:pt idx="246">
                  <c:v>-0.40945024932453694</c:v>
                </c:pt>
                <c:pt idx="247">
                  <c:v>-0.39323021102299499</c:v>
                </c:pt>
                <c:pt idx="248">
                  <c:v>-0.37689853963635739</c:v>
                </c:pt>
                <c:pt idx="249">
                  <c:v>-0.36046039792069923</c:v>
                </c:pt>
                <c:pt idx="250">
                  <c:v>-0.34392097381712727</c:v>
                </c:pt>
                <c:pt idx="251">
                  <c:v>-0.32728547865806318</c:v>
                </c:pt>
                <c:pt idx="252">
                  <c:v>-0.31055914537612955</c:v>
                </c:pt>
                <c:pt idx="253">
                  <c:v>-0.29374722671642745</c:v>
                </c:pt>
                <c:pt idx="254">
                  <c:v>-0.2768549934529495</c:v>
                </c:pt>
                <c:pt idx="255">
                  <c:v>-0.25988773260988113</c:v>
                </c:pt>
                <c:pt idx="256">
                  <c:v>-0.24285074568850035</c:v>
                </c:pt>
                <c:pt idx="257">
                  <c:v>-0.22574934690040549</c:v>
                </c:pt>
                <c:pt idx="258">
                  <c:v>-0.2085888614077511</c:v>
                </c:pt>
                <c:pt idx="259">
                  <c:v>-0.19137462357117185</c:v>
                </c:pt>
                <c:pt idx="260">
                  <c:v>-0.17411197520606148</c:v>
                </c:pt>
                <c:pt idx="261">
                  <c:v>-0.1568062638478343</c:v>
                </c:pt>
                <c:pt idx="262">
                  <c:v>-0.13946284102681319</c:v>
                </c:pt>
                <c:pt idx="263">
                  <c:v>-0.12208706055333737</c:v>
                </c:pt>
                <c:pt idx="264">
                  <c:v>-0.10468427681369057</c:v>
                </c:pt>
                <c:pt idx="265">
                  <c:v>-8.7259843077406918E-2</c:v>
                </c:pt>
                <c:pt idx="266">
                  <c:v>-6.9819109816526365E-2</c:v>
                </c:pt>
                <c:pt idx="267">
                  <c:v>-5.2367423037320927E-2</c:v>
                </c:pt>
                <c:pt idx="268">
                  <c:v>-3.4910122625014146E-2</c:v>
                </c:pt>
                <c:pt idx="269">
                  <c:v>-1.7452540701995929E-2</c:v>
                </c:pt>
                <c:pt idx="270">
                  <c:v>-1.8371915805077271E-16</c:v>
                </c:pt>
                <c:pt idx="271">
                  <c:v>1.7442187753275724E-2</c:v>
                </c:pt>
                <c:pt idx="272">
                  <c:v>3.4868723432680451E-2</c:v>
                </c:pt>
                <c:pt idx="273">
                  <c:v>5.2274322098811853E-2</c:v>
                </c:pt>
                <c:pt idx="274">
                  <c:v>6.9653714565521579E-2</c:v>
                </c:pt>
                <c:pt idx="275">
                  <c:v>8.7001648951315236E-2</c:v>
                </c:pt>
                <c:pt idx="276">
                  <c:v>0.10431289221429184</c:v>
                </c:pt>
                <c:pt idx="277">
                  <c:v>0.12158223167026602</c:v>
                </c:pt>
                <c:pt idx="278">
                  <c:v>0.1388044764937349</c:v>
                </c:pt>
                <c:pt idx="279">
                  <c:v>0.15597445920138722</c:v>
                </c:pt>
                <c:pt idx="280">
                  <c:v>0.17308703711783846</c:v>
                </c:pt>
                <c:pt idx="281">
                  <c:v>0.19013709382332511</c:v>
                </c:pt>
                <c:pt idx="282">
                  <c:v>0.20711954058308465</c:v>
                </c:pt>
                <c:pt idx="283">
                  <c:v>0.22402931775818763</c:v>
                </c:pt>
                <c:pt idx="284">
                  <c:v>0.24086139619757588</c:v>
                </c:pt>
                <c:pt idx="285">
                  <c:v>0.25761077861110554</c:v>
                </c:pt>
                <c:pt idx="286">
                  <c:v>0.274272500923395</c:v>
                </c:pt>
                <c:pt idx="287">
                  <c:v>0.29084163360829102</c:v>
                </c:pt>
                <c:pt idx="288">
                  <c:v>0.30731328300380223</c:v>
                </c:pt>
                <c:pt idx="289">
                  <c:v>0.3236825926073319</c:v>
                </c:pt>
                <c:pt idx="290">
                  <c:v>0.33994474435108979</c:v>
                </c:pt>
                <c:pt idx="291">
                  <c:v>0.35609495985755313</c:v>
                </c:pt>
                <c:pt idx="292">
                  <c:v>0.37212850167488309</c:v>
                </c:pt>
                <c:pt idx="293">
                  <c:v>0.38804067449219082</c:v>
                </c:pt>
                <c:pt idx="294">
                  <c:v>0.403826826334587</c:v>
                </c:pt>
                <c:pt idx="295">
                  <c:v>0.41948234973794496</c:v>
                </c:pt>
                <c:pt idx="296">
                  <c:v>0.43500268290332417</c:v>
                </c:pt>
                <c:pt idx="297">
                  <c:v>0.4503833108310269</c:v>
                </c:pt>
                <c:pt idx="298">
                  <c:v>0.46561976643424324</c:v>
                </c:pt>
                <c:pt idx="299">
                  <c:v>0.48070763163228625</c:v>
                </c:pt>
                <c:pt idx="300">
                  <c:v>0.49564253842340122</c:v>
                </c:pt>
                <c:pt idx="301">
                  <c:v>0.51042016993717021</c:v>
                </c:pt>
                <c:pt idx="302">
                  <c:v>0.52503626146651572</c:v>
                </c:pt>
                <c:pt idx="303">
                  <c:v>0.53948660147934213</c:v>
                </c:pt>
                <c:pt idx="304">
                  <c:v>0.55376703260984883</c:v>
                </c:pt>
                <c:pt idx="305">
                  <c:v>0.5678734526295609</c:v>
                </c:pt>
                <c:pt idx="306">
                  <c:v>0.58180181539814413</c:v>
                </c:pt>
                <c:pt idx="307">
                  <c:v>0.59554813179405253</c:v>
                </c:pt>
                <c:pt idx="308">
                  <c:v>0.60910847062509665</c:v>
                </c:pt>
                <c:pt idx="309">
                  <c:v>0.62247895951900256</c:v>
                </c:pt>
                <c:pt idx="310">
                  <c:v>0.63565578579406212</c:v>
                </c:pt>
                <c:pt idx="311">
                  <c:v>0.64863519730995278</c:v>
                </c:pt>
                <c:pt idx="312">
                  <c:v>0.66141350329884319</c:v>
                </c:pt>
                <c:pt idx="313">
                  <c:v>0.67398707517688328</c:v>
                </c:pt>
                <c:pt idx="314">
                  <c:v>0.6863523473361931</c:v>
                </c:pt>
                <c:pt idx="315">
                  <c:v>0.69850581791747346</c:v>
                </c:pt>
                <c:pt idx="316">
                  <c:v>0.71044404956335327</c:v>
                </c:pt>
                <c:pt idx="317">
                  <c:v>0.72216367015260596</c:v>
                </c:pt>
                <c:pt idx="318">
                  <c:v>0.73366137351536143</c:v>
                </c:pt>
                <c:pt idx="319">
                  <c:v>0.74493392012945925</c:v>
                </c:pt>
                <c:pt idx="320">
                  <c:v>0.75597813779806244</c:v>
                </c:pt>
                <c:pt idx="321">
                  <c:v>0.76679092230869028</c:v>
                </c:pt>
                <c:pt idx="322">
                  <c:v>0.77736923807380098</c:v>
                </c:pt>
                <c:pt idx="323">
                  <c:v>0.78771011875307306</c:v>
                </c:pt>
                <c:pt idx="324">
                  <c:v>0.79781066785753663</c:v>
                </c:pt>
                <c:pt idx="325">
                  <c:v>0.80766805933569219</c:v>
                </c:pt>
                <c:pt idx="326">
                  <c:v>0.81727953814177423</c:v>
                </c:pt>
                <c:pt idx="327">
                  <c:v>0.82664242078630124</c:v>
                </c:pt>
                <c:pt idx="328">
                  <c:v>0.83575409586907279</c:v>
                </c:pt>
                <c:pt idx="329">
                  <c:v>0.84461202459474782</c:v>
                </c:pt>
                <c:pt idx="330">
                  <c:v>0.85321374127116512</c:v>
                </c:pt>
                <c:pt idx="331">
                  <c:v>0.8615568537905467</c:v>
                </c:pt>
                <c:pt idx="332">
                  <c:v>0.86963904409373283</c:v>
                </c:pt>
                <c:pt idx="333">
                  <c:v>0.87745806861759734</c:v>
                </c:pt>
                <c:pt idx="334">
                  <c:v>0.88501175872577909</c:v>
                </c:pt>
                <c:pt idx="335">
                  <c:v>0.89229802112287848</c:v>
                </c:pt>
                <c:pt idx="336">
                  <c:v>0.89931483825225134</c:v>
                </c:pt>
                <c:pt idx="337">
                  <c:v>0.90606026867754486</c:v>
                </c:pt>
                <c:pt idx="338">
                  <c:v>0.91253244744810014</c:v>
                </c:pt>
                <c:pt idx="339">
                  <c:v>0.918729586448359</c:v>
                </c:pt>
                <c:pt idx="340">
                  <c:v>0.92464997473139676</c:v>
                </c:pt>
                <c:pt idx="341">
                  <c:v>0.93029197883670911</c:v>
                </c:pt>
                <c:pt idx="342">
                  <c:v>0.93565404309236899</c:v>
                </c:pt>
                <c:pt idx="343">
                  <c:v>0.94073468990167153</c:v>
                </c:pt>
                <c:pt idx="344">
                  <c:v>0.94553252001437726</c:v>
                </c:pt>
                <c:pt idx="345">
                  <c:v>0.95004621278265766</c:v>
                </c:pt>
                <c:pt idx="346">
                  <c:v>0.95427452640185273</c:v>
                </c:pt>
                <c:pt idx="347">
                  <c:v>0.95821629813612841</c:v>
                </c:pt>
                <c:pt idx="348">
                  <c:v>0.96187044452913362</c:v>
                </c:pt>
                <c:pt idx="349">
                  <c:v>0.96523596159973934</c:v>
                </c:pt>
                <c:pt idx="350">
                  <c:v>0.96831192502294239</c:v>
                </c:pt>
                <c:pt idx="351">
                  <c:v>0.97109749029601378</c:v>
                </c:pt>
                <c:pt idx="352">
                  <c:v>0.97359189288995607</c:v>
                </c:pt>
                <c:pt idx="353">
                  <c:v>0.97579444838633767</c:v>
                </c:pt>
                <c:pt idx="354">
                  <c:v>0.97770455259956612</c:v>
                </c:pt>
                <c:pt idx="355">
                  <c:v>0.97932168168464784</c:v>
                </c:pt>
                <c:pt idx="356">
                  <c:v>0.98064539223048386</c:v>
                </c:pt>
                <c:pt idx="357">
                  <c:v>0.98167532133874424</c:v>
                </c:pt>
                <c:pt idx="358">
                  <c:v>0.98241118668835337</c:v>
                </c:pt>
                <c:pt idx="359">
                  <c:v>0.98285278658561481</c:v>
                </c:pt>
                <c:pt idx="360">
                  <c:v>0.9830000000000001</c:v>
                </c:pt>
              </c:numCache>
            </c:numRef>
          </c:xVal>
          <c:yVal>
            <c:numRef>
              <c:f>'Orbital Plotter'!$M$2:$M$362</c:f>
              <c:numCache>
                <c:formatCode>0.000</c:formatCode>
                <c:ptCount val="361"/>
                <c:pt idx="0">
                  <c:v>0</c:v>
                </c:pt>
                <c:pt idx="1">
                  <c:v>1.7155759204731488E-2</c:v>
                </c:pt>
                <c:pt idx="2">
                  <c:v>3.430655459645833E-2</c:v>
                </c:pt>
                <c:pt idx="3">
                  <c:v>5.1447423568329459E-2</c:v>
                </c:pt>
                <c:pt idx="4">
                  <c:v>6.8573405925771061E-2</c:v>
                </c:pt>
                <c:pt idx="5">
                  <c:v>8.5679545092550199E-2</c:v>
                </c:pt>
                <c:pt idx="6">
                  <c:v>0.10276088931674776</c:v>
                </c:pt>
                <c:pt idx="7">
                  <c:v>0.11981249287660846</c:v>
                </c:pt>
                <c:pt idx="8">
                  <c:v>0.13682941728623571</c:v>
                </c:pt>
                <c:pt idx="9">
                  <c:v>0.15380673250109597</c:v>
                </c:pt>
                <c:pt idx="10">
                  <c:v>0.17073951812329694</c:v>
                </c:pt>
                <c:pt idx="11">
                  <c:v>0.18762286460660027</c:v>
                </c:pt>
                <c:pt idx="12">
                  <c:v>0.20445187446112842</c:v>
                </c:pt>
                <c:pt idx="13">
                  <c:v>0.22122166345772126</c:v>
                </c:pt>
                <c:pt idx="14">
                  <c:v>0.23792736183189606</c:v>
                </c:pt>
                <c:pt idx="15">
                  <c:v>0.25456411548735963</c:v>
                </c:pt>
                <c:pt idx="16">
                  <c:v>0.27112708719902034</c:v>
                </c:pt>
                <c:pt idx="17">
                  <c:v>0.28761145781543968</c:v>
                </c:pt>
                <c:pt idx="18">
                  <c:v>0.30401242746066315</c:v>
                </c:pt>
                <c:pt idx="19">
                  <c:v>0.32032521673536385</c:v>
                </c:pt>
                <c:pt idx="20">
                  <c:v>0.33654506791722455</c:v>
                </c:pt>
                <c:pt idx="21">
                  <c:v>0.352667246160486</c:v>
                </c:pt>
                <c:pt idx="22">
                  <c:v>0.36868704069457453</c:v>
                </c:pt>
                <c:pt idx="23">
                  <c:v>0.38459976602172596</c:v>
                </c:pt>
                <c:pt idx="24">
                  <c:v>0.4004007631135087</c:v>
                </c:pt>
                <c:pt idx="25">
                  <c:v>0.4160854006061489</c:v>
                </c:pt>
                <c:pt idx="26">
                  <c:v>0.43164907599454988</c:v>
                </c:pt>
                <c:pt idx="27">
                  <c:v>0.44708721682489461</c:v>
                </c:pt>
                <c:pt idx="28">
                  <c:v>0.46239528188571039</c:v>
                </c:pt>
                <c:pt idx="29">
                  <c:v>0.47756876239726986</c:v>
                </c:pt>
                <c:pt idx="30">
                  <c:v>0.49260318319919499</c:v>
                </c:pt>
                <c:pt idx="31">
                  <c:v>0.50749410393612127</c:v>
                </c:pt>
                <c:pt idx="32">
                  <c:v>0.52223712024127344</c:v>
                </c:pt>
                <c:pt idx="33">
                  <c:v>0.53682786491779566</c:v>
                </c:pt>
                <c:pt idx="34">
                  <c:v>0.55126200911767154</c:v>
                </c:pt>
                <c:pt idx="35">
                  <c:v>0.56553526351805894</c:v>
                </c:pt>
                <c:pt idx="36">
                  <c:v>0.57964337949486</c:v>
                </c:pt>
                <c:pt idx="37">
                  <c:v>0.59358215029333117</c:v>
                </c:pt>
                <c:pt idx="38">
                  <c:v>0.60734741219553912</c:v>
                </c:pt>
                <c:pt idx="39">
                  <c:v>0.62093504568445079</c:v>
                </c:pt>
                <c:pt idx="40">
                  <c:v>0.63434097660444133</c:v>
                </c:pt>
                <c:pt idx="41">
                  <c:v>0.64756117731799123</c:v>
                </c:pt>
                <c:pt idx="42">
                  <c:v>0.66059166785833967</c:v>
                </c:pt>
                <c:pt idx="43">
                  <c:v>0.67342851707784701</c:v>
                </c:pt>
                <c:pt idx="44">
                  <c:v>0.68606784379181107</c:v>
                </c:pt>
                <c:pt idx="45">
                  <c:v>0.69850581791747357</c:v>
                </c:pt>
                <c:pt idx="46">
                  <c:v>0.71073866160794197</c:v>
                </c:pt>
                <c:pt idx="47">
                  <c:v>0.72276265038074294</c:v>
                </c:pt>
                <c:pt idx="48">
                  <c:v>0.73457411424071539</c:v>
                </c:pt>
                <c:pt idx="49">
                  <c:v>0.74616943879693598</c:v>
                </c:pt>
                <c:pt idx="50">
                  <c:v>0.75754506637336916</c:v>
                </c:pt>
                <c:pt idx="51">
                  <c:v>0.76869749711291357</c:v>
                </c:pt>
                <c:pt idx="52">
                  <c:v>0.77962329007451592</c:v>
                </c:pt>
                <c:pt idx="53">
                  <c:v>0.79031906432300725</c:v>
                </c:pt>
                <c:pt idx="54">
                  <c:v>0.80078150001131321</c:v>
                </c:pt>
                <c:pt idx="55">
                  <c:v>0.81100733945467007</c:v>
                </c:pt>
                <c:pt idx="56">
                  <c:v>0.82099338819648349</c:v>
                </c:pt>
                <c:pt idx="57">
                  <c:v>0.83073651606544008</c:v>
                </c:pt>
                <c:pt idx="58">
                  <c:v>0.84023365822349072</c:v>
                </c:pt>
                <c:pt idx="59">
                  <c:v>0.84948181620429719</c:v>
                </c:pt>
                <c:pt idx="60">
                  <c:v>0.85847805894174012</c:v>
                </c:pt>
                <c:pt idx="61">
                  <c:v>0.86721952378806799</c:v>
                </c:pt>
                <c:pt idx="62">
                  <c:v>0.87570341752125958</c:v>
                </c:pt>
                <c:pt idx="63">
                  <c:v>0.8839270173411653</c:v>
                </c:pt>
                <c:pt idx="64">
                  <c:v>0.89188767185398599</c:v>
                </c:pt>
                <c:pt idx="65">
                  <c:v>0.89958280204463359</c:v>
                </c:pt>
                <c:pt idx="66">
                  <c:v>0.9070099022365149</c:v>
                </c:pt>
                <c:pt idx="67">
                  <c:v>0.91416654103827322</c:v>
                </c:pt>
                <c:pt idx="68">
                  <c:v>0.92105036227700732</c:v>
                </c:pt>
                <c:pt idx="69">
                  <c:v>0.92765908591748958</c:v>
                </c:pt>
                <c:pt idx="70">
                  <c:v>0.93399050896689273</c:v>
                </c:pt>
                <c:pt idx="71">
                  <c:v>0.94004250636452613</c:v>
                </c:pt>
                <c:pt idx="72">
                  <c:v>0.94581303185608223</c:v>
                </c:pt>
                <c:pt idx="73">
                  <c:v>0.95130011885188381</c:v>
                </c:pt>
                <c:pt idx="74">
                  <c:v>0.95650188126861602</c:v>
                </c:pt>
                <c:pt idx="75">
                  <c:v>0.96141651435402542</c:v>
                </c:pt>
                <c:pt idx="76">
                  <c:v>0.9660422954940614</c:v>
                </c:pt>
                <c:pt idx="77">
                  <c:v>0.97037758500192905</c:v>
                </c:pt>
                <c:pt idx="78">
                  <c:v>0.97442082688852416</c:v>
                </c:pt>
                <c:pt idx="79">
                  <c:v>0.97817054961370942</c:v>
                </c:pt>
                <c:pt idx="80">
                  <c:v>0.98162536681789503</c:v>
                </c:pt>
                <c:pt idx="81">
                  <c:v>0.98478397803338058</c:v>
                </c:pt>
                <c:pt idx="82">
                  <c:v>0.98764516937491165</c:v>
                </c:pt>
                <c:pt idx="83">
                  <c:v>0.99020781420890891</c:v>
                </c:pt>
                <c:pt idx="84">
                  <c:v>0.99247087380081467</c:v>
                </c:pt>
                <c:pt idx="85">
                  <c:v>0.99443339794001795</c:v>
                </c:pt>
                <c:pt idx="86">
                  <c:v>0.99609452554179956</c:v>
                </c:pt>
                <c:pt idx="87">
                  <c:v>0.99745348522575827</c:v>
                </c:pt>
                <c:pt idx="88">
                  <c:v>0.99850959587016297</c:v>
                </c:pt>
                <c:pt idx="89">
                  <c:v>0.99926226714169009</c:v>
                </c:pt>
                <c:pt idx="90">
                  <c:v>0.99971100000000002</c:v>
                </c:pt>
                <c:pt idx="91">
                  <c:v>0.99985538717661482</c:v>
                </c:pt>
                <c:pt idx="92">
                  <c:v>0.99969511362755359</c:v>
                </c:pt>
                <c:pt idx="93">
                  <c:v>0.9992299569591987</c:v>
                </c:pt>
                <c:pt idx="94">
                  <c:v>0.99845978782685907</c:v>
                </c:pt>
                <c:pt idx="95">
                  <c:v>0.99738457030550753</c:v>
                </c:pt>
                <c:pt idx="96">
                  <c:v>0.99600436223217614</c:v>
                </c:pt>
                <c:pt idx="97">
                  <c:v>0.99431931551949382</c:v>
                </c:pt>
                <c:pt idx="98">
                  <c:v>0.99232967643986614</c:v>
                </c:pt>
                <c:pt idx="99">
                  <c:v>0.99003578587979724</c:v>
                </c:pt>
                <c:pt idx="100">
                  <c:v>0.98743807956386587</c:v>
                </c:pt>
                <c:pt idx="101">
                  <c:v>0.98453708824787955</c:v>
                </c:pt>
                <c:pt idx="102">
                  <c:v>0.98133343788073202</c:v>
                </c:pt>
                <c:pt idx="103">
                  <c:v>0.97782784973450998</c:v>
                </c:pt>
                <c:pt idx="104">
                  <c:v>0.97402114050239919</c:v>
                </c:pt>
                <c:pt idx="105">
                  <c:v>0.96991422236395175</c:v>
                </c:pt>
                <c:pt idx="106">
                  <c:v>0.9655081030172975</c:v>
                </c:pt>
                <c:pt idx="107">
                  <c:v>0.96080388567788011</c:v>
                </c:pt>
                <c:pt idx="108">
                  <c:v>0.95580276904332984</c:v>
                </c:pt>
                <c:pt idx="109">
                  <c:v>0.9505060472240856</c:v>
                </c:pt>
                <c:pt idx="110">
                  <c:v>0.94491510963940206</c:v>
                </c:pt>
                <c:pt idx="111">
                  <c:v>0.93903144087838875</c:v>
                </c:pt>
                <c:pt idx="112">
                  <c:v>0.93285662052574825</c:v>
                </c:pt>
                <c:pt idx="113">
                  <c:v>0.92639232295189611</c:v>
                </c:pt>
                <c:pt idx="114">
                  <c:v>0.9196403170671601</c:v>
                </c:pt>
                <c:pt idx="115">
                  <c:v>0.91260246603978268</c:v>
                </c:pt>
                <c:pt idx="116">
                  <c:v>0.9052807269774561</c:v>
                </c:pt>
                <c:pt idx="117">
                  <c:v>0.89767715057215891</c:v>
                </c:pt>
                <c:pt idx="118">
                  <c:v>0.88979388070805732</c:v>
                </c:pt>
                <c:pt idx="119">
                  <c:v>0.88163315403228315</c:v>
                </c:pt>
                <c:pt idx="120">
                  <c:v>0.87319729948839642</c:v>
                </c:pt>
                <c:pt idx="121">
                  <c:v>0.86448873781238278</c:v>
                </c:pt>
                <c:pt idx="122">
                  <c:v>0.8555099809910427</c:v>
                </c:pt>
                <c:pt idx="123">
                  <c:v>0.84626363168266294</c:v>
                </c:pt>
                <c:pt idx="124">
                  <c:v>0.83675238259987894</c:v>
                </c:pt>
                <c:pt idx="125">
                  <c:v>0.82697901585465927</c:v>
                </c:pt>
                <c:pt idx="126">
                  <c:v>0.81694640226537796</c:v>
                </c:pt>
                <c:pt idx="127">
                  <c:v>0.80665750062594366</c:v>
                </c:pt>
                <c:pt idx="128">
                  <c:v>0.79611535693701097</c:v>
                </c:pt>
                <c:pt idx="129">
                  <c:v>0.7853231035992887</c:v>
                </c:pt>
                <c:pt idx="130">
                  <c:v>0.77428395856901922</c:v>
                </c:pt>
                <c:pt idx="131">
                  <c:v>0.7630012244757054</c:v>
                </c:pt>
                <c:pt idx="132">
                  <c:v>0.75147828770219793</c:v>
                </c:pt>
                <c:pt idx="133">
                  <c:v>0.7397186174272854</c:v>
                </c:pt>
                <c:pt idx="134">
                  <c:v>0.72772576463094585</c:v>
                </c:pt>
                <c:pt idx="135">
                  <c:v>0.71550336106245827</c:v>
                </c:pt>
                <c:pt idx="136">
                  <c:v>0.70305511817158894</c:v>
                </c:pt>
                <c:pt idx="137">
                  <c:v>0.6903848260031048</c:v>
                </c:pt>
                <c:pt idx="138">
                  <c:v>0.67749635205488035</c:v>
                </c:pt>
                <c:pt idx="139">
                  <c:v>0.66439364009991131</c:v>
                </c:pt>
                <c:pt idx="140">
                  <c:v>0.65108070897255677</c:v>
                </c:pt>
                <c:pt idx="141">
                  <c:v>0.6375616513193697</c:v>
                </c:pt>
                <c:pt idx="142">
                  <c:v>0.62384063231490572</c:v>
                </c:pt>
                <c:pt idx="143">
                  <c:v>0.60992188834291505</c:v>
                </c:pt>
                <c:pt idx="144">
                  <c:v>0.59580972564336987</c:v>
                </c:pt>
                <c:pt idx="145">
                  <c:v>0.58150851892578237</c:v>
                </c:pt>
                <c:pt idx="146">
                  <c:v>0.56702270994932336</c:v>
                </c:pt>
                <c:pt idx="147">
                  <c:v>0.55235680607025073</c:v>
                </c:pt>
                <c:pt idx="148">
                  <c:v>0.53751537875720901</c:v>
                </c:pt>
                <c:pt idx="149">
                  <c:v>0.52250306207497099</c:v>
                </c:pt>
                <c:pt idx="150">
                  <c:v>0.50732455113722219</c:v>
                </c:pt>
                <c:pt idx="151">
                  <c:v>0.49198460052902643</c:v>
                </c:pt>
                <c:pt idx="152">
                  <c:v>0.4764880226996141</c:v>
                </c:pt>
                <c:pt idx="153">
                  <c:v>0.46083968632618849</c:v>
                </c:pt>
                <c:pt idx="154">
                  <c:v>0.44504451464944061</c:v>
                </c:pt>
                <c:pt idx="155">
                  <c:v>0.42910748378151353</c:v>
                </c:pt>
                <c:pt idx="156">
                  <c:v>0.41303362098716195</c:v>
                </c:pt>
                <c:pt idx="157">
                  <c:v>0.39682800293888887</c:v>
                </c:pt>
                <c:pt idx="158">
                  <c:v>0.3804957539468577</c:v>
                </c:pt>
                <c:pt idx="159">
                  <c:v>0.36404204416439806</c:v>
                </c:pt>
                <c:pt idx="160">
                  <c:v>0.34747208776995836</c:v>
                </c:pt>
                <c:pt idx="161">
                  <c:v>0.33079114112635577</c:v>
                </c:pt>
                <c:pt idx="162">
                  <c:v>0.31400450091822607</c:v>
                </c:pt>
                <c:pt idx="163">
                  <c:v>0.29711750226855949</c:v>
                </c:pt>
                <c:pt idx="164">
                  <c:v>0.28013551683526372</c:v>
                </c:pt>
                <c:pt idx="165">
                  <c:v>0.26306395088867968</c:v>
                </c:pt>
                <c:pt idx="166">
                  <c:v>0.24590824337102143</c:v>
                </c:pt>
                <c:pt idx="167">
                  <c:v>0.22867386393871092</c:v>
                </c:pt>
                <c:pt idx="168">
                  <c:v>0.2113663109885936</c:v>
                </c:pt>
                <c:pt idx="169">
                  <c:v>0.19399110966905259</c:v>
                </c:pt>
                <c:pt idx="170">
                  <c:v>0.1765538098770271</c:v>
                </c:pt>
                <c:pt idx="171">
                  <c:v>0.15905998424198223</c:v>
                </c:pt>
                <c:pt idx="172">
                  <c:v>0.1415152260978606</c:v>
                </c:pt>
                <c:pt idx="173">
                  <c:v>0.12392514744408606</c:v>
                </c:pt>
                <c:pt idx="174">
                  <c:v>0.10629537689667215</c:v>
                </c:pt>
                <c:pt idx="175">
                  <c:v>8.8631557630521482E-2</c:v>
                </c:pt>
                <c:pt idx="176">
                  <c:v>7.0939345313995039E-2</c:v>
                </c:pt>
                <c:pt idx="177">
                  <c:v>5.322440603683825E-2</c:v>
                </c:pt>
                <c:pt idx="178">
                  <c:v>3.5492414232571622E-2</c:v>
                </c:pt>
                <c:pt idx="179">
                  <c:v>1.7749050596434064E-2</c:v>
                </c:pt>
                <c:pt idx="180">
                  <c:v>1.2459759786420666E-16</c:v>
                </c:pt>
                <c:pt idx="181">
                  <c:v>-1.7749050596434265E-2</c:v>
                </c:pt>
                <c:pt idx="182">
                  <c:v>-3.5492414232571372E-2</c:v>
                </c:pt>
                <c:pt idx="183">
                  <c:v>-5.3224406036838E-2</c:v>
                </c:pt>
                <c:pt idx="184">
                  <c:v>-7.0939345313994775E-2</c:v>
                </c:pt>
                <c:pt idx="185">
                  <c:v>-8.8631557630521218E-2</c:v>
                </c:pt>
                <c:pt idx="186">
                  <c:v>-0.10629537689667191</c:v>
                </c:pt>
                <c:pt idx="187">
                  <c:v>-0.12392514744408582</c:v>
                </c:pt>
                <c:pt idx="188">
                  <c:v>-0.1415152260978608</c:v>
                </c:pt>
                <c:pt idx="189">
                  <c:v>-0.15905998424198198</c:v>
                </c:pt>
                <c:pt idx="190">
                  <c:v>-0.17655380987702732</c:v>
                </c:pt>
                <c:pt idx="191">
                  <c:v>-0.19399110966905234</c:v>
                </c:pt>
                <c:pt idx="192">
                  <c:v>-0.21136631098859382</c:v>
                </c:pt>
                <c:pt idx="193">
                  <c:v>-0.2286738639387107</c:v>
                </c:pt>
                <c:pt idx="194">
                  <c:v>-0.24590824337102121</c:v>
                </c:pt>
                <c:pt idx="195">
                  <c:v>-0.26306395088867945</c:v>
                </c:pt>
                <c:pt idx="196">
                  <c:v>-0.28013551683526344</c:v>
                </c:pt>
                <c:pt idx="197">
                  <c:v>-0.29711750226855965</c:v>
                </c:pt>
                <c:pt idx="198">
                  <c:v>-0.31400450091822579</c:v>
                </c:pt>
                <c:pt idx="199">
                  <c:v>-0.33079114112635594</c:v>
                </c:pt>
                <c:pt idx="200">
                  <c:v>-0.34747208776995814</c:v>
                </c:pt>
                <c:pt idx="201">
                  <c:v>-0.36404204416439828</c:v>
                </c:pt>
                <c:pt idx="202">
                  <c:v>-0.38049575394685747</c:v>
                </c:pt>
                <c:pt idx="203">
                  <c:v>-0.39682800293888865</c:v>
                </c:pt>
                <c:pt idx="204">
                  <c:v>-0.41303362098716173</c:v>
                </c:pt>
                <c:pt idx="205">
                  <c:v>-0.42910748378151331</c:v>
                </c:pt>
                <c:pt idx="206">
                  <c:v>-0.44504451464944078</c:v>
                </c:pt>
                <c:pt idx="207">
                  <c:v>-0.46083968632618832</c:v>
                </c:pt>
                <c:pt idx="208">
                  <c:v>-0.47648802269961427</c:v>
                </c:pt>
                <c:pt idx="209">
                  <c:v>-0.49198460052902621</c:v>
                </c:pt>
                <c:pt idx="210">
                  <c:v>-0.50732455113722241</c:v>
                </c:pt>
                <c:pt idx="211">
                  <c:v>-0.52250306207497077</c:v>
                </c:pt>
                <c:pt idx="212">
                  <c:v>-0.53751537875720889</c:v>
                </c:pt>
                <c:pt idx="213">
                  <c:v>-0.55235680607025051</c:v>
                </c:pt>
                <c:pt idx="214">
                  <c:v>-0.56702270994932313</c:v>
                </c:pt>
                <c:pt idx="215">
                  <c:v>-0.58150851892578259</c:v>
                </c:pt>
                <c:pt idx="216">
                  <c:v>-0.59580972564336965</c:v>
                </c:pt>
                <c:pt idx="217">
                  <c:v>-0.60992188834291527</c:v>
                </c:pt>
                <c:pt idx="218">
                  <c:v>-0.6238406323149055</c:v>
                </c:pt>
                <c:pt idx="219">
                  <c:v>-0.63756165131936993</c:v>
                </c:pt>
                <c:pt idx="220">
                  <c:v>-0.65108070897255654</c:v>
                </c:pt>
                <c:pt idx="221">
                  <c:v>-0.66439364009991109</c:v>
                </c:pt>
                <c:pt idx="222">
                  <c:v>-0.67749635205488024</c:v>
                </c:pt>
                <c:pt idx="223">
                  <c:v>-0.69038482600310458</c:v>
                </c:pt>
                <c:pt idx="224">
                  <c:v>-0.70305511817158917</c:v>
                </c:pt>
                <c:pt idx="225">
                  <c:v>-0.71550336106245815</c:v>
                </c:pt>
                <c:pt idx="226">
                  <c:v>-0.72772576463094596</c:v>
                </c:pt>
                <c:pt idx="227">
                  <c:v>-0.73971861742728529</c:v>
                </c:pt>
                <c:pt idx="228">
                  <c:v>-0.75147828770219804</c:v>
                </c:pt>
                <c:pt idx="229">
                  <c:v>-0.76300122447570529</c:v>
                </c:pt>
                <c:pt idx="230">
                  <c:v>-0.7742839585690191</c:v>
                </c:pt>
                <c:pt idx="231">
                  <c:v>-0.78532310359928825</c:v>
                </c:pt>
                <c:pt idx="232">
                  <c:v>-0.79611535693701108</c:v>
                </c:pt>
                <c:pt idx="233">
                  <c:v>-0.80665750062594377</c:v>
                </c:pt>
                <c:pt idx="234">
                  <c:v>-0.81694640226537785</c:v>
                </c:pt>
                <c:pt idx="235">
                  <c:v>-0.82697901585465916</c:v>
                </c:pt>
                <c:pt idx="236">
                  <c:v>-0.83675238259987905</c:v>
                </c:pt>
                <c:pt idx="237">
                  <c:v>-0.84626363168266305</c:v>
                </c:pt>
                <c:pt idx="238">
                  <c:v>-0.85550998099104258</c:v>
                </c:pt>
                <c:pt idx="239">
                  <c:v>-0.86448873781238256</c:v>
                </c:pt>
                <c:pt idx="240">
                  <c:v>-0.87319729948839608</c:v>
                </c:pt>
                <c:pt idx="241">
                  <c:v>-0.88163315403228326</c:v>
                </c:pt>
                <c:pt idx="242">
                  <c:v>-0.88979388070805743</c:v>
                </c:pt>
                <c:pt idx="243">
                  <c:v>-0.8976771505721588</c:v>
                </c:pt>
                <c:pt idx="244">
                  <c:v>-0.90528072697745599</c:v>
                </c:pt>
                <c:pt idx="245">
                  <c:v>-0.91260246603978268</c:v>
                </c:pt>
                <c:pt idx="246">
                  <c:v>-0.91964031706716021</c:v>
                </c:pt>
                <c:pt idx="247">
                  <c:v>-0.92639232295189611</c:v>
                </c:pt>
                <c:pt idx="248">
                  <c:v>-0.93285662052574814</c:v>
                </c:pt>
                <c:pt idx="249">
                  <c:v>-0.93903144087838863</c:v>
                </c:pt>
                <c:pt idx="250">
                  <c:v>-0.94491510963940206</c:v>
                </c:pt>
                <c:pt idx="251">
                  <c:v>-0.9505060472240856</c:v>
                </c:pt>
                <c:pt idx="252">
                  <c:v>-0.95580276904332973</c:v>
                </c:pt>
                <c:pt idx="253">
                  <c:v>-0.96080388567787989</c:v>
                </c:pt>
                <c:pt idx="254">
                  <c:v>-0.96550810301729761</c:v>
                </c:pt>
                <c:pt idx="255">
                  <c:v>-0.96991422236395175</c:v>
                </c:pt>
                <c:pt idx="256">
                  <c:v>-0.97402114050239919</c:v>
                </c:pt>
                <c:pt idx="257">
                  <c:v>-0.97782784973450987</c:v>
                </c:pt>
                <c:pt idx="258">
                  <c:v>-0.98133343788073191</c:v>
                </c:pt>
                <c:pt idx="259">
                  <c:v>-0.98453708824787955</c:v>
                </c:pt>
                <c:pt idx="260">
                  <c:v>-0.98743807956386587</c:v>
                </c:pt>
                <c:pt idx="261">
                  <c:v>-0.99003578587979713</c:v>
                </c:pt>
                <c:pt idx="262">
                  <c:v>-0.99232967643986603</c:v>
                </c:pt>
                <c:pt idx="263">
                  <c:v>-0.99431931551949382</c:v>
                </c:pt>
                <c:pt idx="264">
                  <c:v>-0.99600436223217625</c:v>
                </c:pt>
                <c:pt idx="265">
                  <c:v>-0.99738457030550753</c:v>
                </c:pt>
                <c:pt idx="266">
                  <c:v>-0.99845978782685907</c:v>
                </c:pt>
                <c:pt idx="267">
                  <c:v>-0.9992299569591987</c:v>
                </c:pt>
                <c:pt idx="268">
                  <c:v>-0.99969511362755359</c:v>
                </c:pt>
                <c:pt idx="269">
                  <c:v>-0.99985538717661482</c:v>
                </c:pt>
                <c:pt idx="270">
                  <c:v>-0.99971100000000002</c:v>
                </c:pt>
                <c:pt idx="271">
                  <c:v>-0.99926226714169009</c:v>
                </c:pt>
                <c:pt idx="272">
                  <c:v>-0.99850959587016297</c:v>
                </c:pt>
                <c:pt idx="273">
                  <c:v>-0.99745348522575827</c:v>
                </c:pt>
                <c:pt idx="274">
                  <c:v>-0.99609452554179967</c:v>
                </c:pt>
                <c:pt idx="275">
                  <c:v>-0.99443339794001795</c:v>
                </c:pt>
                <c:pt idx="276">
                  <c:v>-0.99247087380081478</c:v>
                </c:pt>
                <c:pt idx="277">
                  <c:v>-0.99020781420890891</c:v>
                </c:pt>
                <c:pt idx="278">
                  <c:v>-0.98764516937491165</c:v>
                </c:pt>
                <c:pt idx="279">
                  <c:v>-0.98478397803338058</c:v>
                </c:pt>
                <c:pt idx="280">
                  <c:v>-0.98162536681789514</c:v>
                </c:pt>
                <c:pt idx="281">
                  <c:v>-0.97817054961370931</c:v>
                </c:pt>
                <c:pt idx="282">
                  <c:v>-0.97442082688852416</c:v>
                </c:pt>
                <c:pt idx="283">
                  <c:v>-0.97037758500192905</c:v>
                </c:pt>
                <c:pt idx="284">
                  <c:v>-0.96604229549406151</c:v>
                </c:pt>
                <c:pt idx="285">
                  <c:v>-0.96141651435402553</c:v>
                </c:pt>
                <c:pt idx="286">
                  <c:v>-0.95650188126861591</c:v>
                </c:pt>
                <c:pt idx="287">
                  <c:v>-0.95130011885188381</c:v>
                </c:pt>
                <c:pt idx="288">
                  <c:v>-0.94581303185608234</c:v>
                </c:pt>
                <c:pt idx="289">
                  <c:v>-0.94004250636452635</c:v>
                </c:pt>
                <c:pt idx="290">
                  <c:v>-0.93399050896689273</c:v>
                </c:pt>
                <c:pt idx="291">
                  <c:v>-0.92765908591748958</c:v>
                </c:pt>
                <c:pt idx="292">
                  <c:v>-0.92105036227700732</c:v>
                </c:pt>
                <c:pt idx="293">
                  <c:v>-0.91416654103827333</c:v>
                </c:pt>
                <c:pt idx="294">
                  <c:v>-0.90700990223651512</c:v>
                </c:pt>
                <c:pt idx="295">
                  <c:v>-0.89958280204463359</c:v>
                </c:pt>
                <c:pt idx="296">
                  <c:v>-0.89188767185398599</c:v>
                </c:pt>
                <c:pt idx="297">
                  <c:v>-0.88392701734116541</c:v>
                </c:pt>
                <c:pt idx="298">
                  <c:v>-0.8757034175212598</c:v>
                </c:pt>
                <c:pt idx="299">
                  <c:v>-0.86721952378806788</c:v>
                </c:pt>
                <c:pt idx="300">
                  <c:v>-0.85847805894174012</c:v>
                </c:pt>
                <c:pt idx="301">
                  <c:v>-0.84948181620429719</c:v>
                </c:pt>
                <c:pt idx="302">
                  <c:v>-0.84023365822349094</c:v>
                </c:pt>
                <c:pt idx="303">
                  <c:v>-0.8307365160654403</c:v>
                </c:pt>
                <c:pt idx="304">
                  <c:v>-0.82099338819648338</c:v>
                </c:pt>
                <c:pt idx="305">
                  <c:v>-0.81100733945467007</c:v>
                </c:pt>
                <c:pt idx="306">
                  <c:v>-0.80078150001131332</c:v>
                </c:pt>
                <c:pt idx="307">
                  <c:v>-0.79031906432300747</c:v>
                </c:pt>
                <c:pt idx="308">
                  <c:v>-0.7796232900745157</c:v>
                </c:pt>
                <c:pt idx="309">
                  <c:v>-0.76869749711291346</c:v>
                </c:pt>
                <c:pt idx="310">
                  <c:v>-0.75754506637336927</c:v>
                </c:pt>
                <c:pt idx="311">
                  <c:v>-0.7461694387969362</c:v>
                </c:pt>
                <c:pt idx="312">
                  <c:v>-0.73457411424071573</c:v>
                </c:pt>
                <c:pt idx="313">
                  <c:v>-0.72276265038074283</c:v>
                </c:pt>
                <c:pt idx="314">
                  <c:v>-0.71073866160794208</c:v>
                </c:pt>
                <c:pt idx="315">
                  <c:v>-0.69850581791747379</c:v>
                </c:pt>
                <c:pt idx="316">
                  <c:v>-0.6860678437918114</c:v>
                </c:pt>
                <c:pt idx="317">
                  <c:v>-0.67342851707784679</c:v>
                </c:pt>
                <c:pt idx="318">
                  <c:v>-0.66059166785833956</c:v>
                </c:pt>
                <c:pt idx="319">
                  <c:v>-0.64756117731799134</c:v>
                </c:pt>
                <c:pt idx="320">
                  <c:v>-0.63434097660444166</c:v>
                </c:pt>
                <c:pt idx="321">
                  <c:v>-0.62093504568445124</c:v>
                </c:pt>
                <c:pt idx="322">
                  <c:v>-0.607347412195539</c:v>
                </c:pt>
                <c:pt idx="323">
                  <c:v>-0.59358215029333117</c:v>
                </c:pt>
                <c:pt idx="324">
                  <c:v>-0.57964337949486022</c:v>
                </c:pt>
                <c:pt idx="325">
                  <c:v>-0.56553526351805938</c:v>
                </c:pt>
                <c:pt idx="326">
                  <c:v>-0.5512620091176712</c:v>
                </c:pt>
                <c:pt idx="327">
                  <c:v>-0.53682786491779555</c:v>
                </c:pt>
                <c:pt idx="328">
                  <c:v>-0.52223712024127356</c:v>
                </c:pt>
                <c:pt idx="329">
                  <c:v>-0.5074941039361216</c:v>
                </c:pt>
                <c:pt idx="330">
                  <c:v>-0.49260318319919549</c:v>
                </c:pt>
                <c:pt idx="331">
                  <c:v>-0.4775687623972697</c:v>
                </c:pt>
                <c:pt idx="332">
                  <c:v>-0.46239528188571039</c:v>
                </c:pt>
                <c:pt idx="333">
                  <c:v>-0.44708721682489483</c:v>
                </c:pt>
                <c:pt idx="334">
                  <c:v>-0.43164907599455027</c:v>
                </c:pt>
                <c:pt idx="335">
                  <c:v>-0.41608540060614868</c:v>
                </c:pt>
                <c:pt idx="336">
                  <c:v>-0.40040076311350864</c:v>
                </c:pt>
                <c:pt idx="337">
                  <c:v>-0.38459976602172607</c:v>
                </c:pt>
                <c:pt idx="338">
                  <c:v>-0.36868704069457481</c:v>
                </c:pt>
                <c:pt idx="339">
                  <c:v>-0.3526672461604865</c:v>
                </c:pt>
                <c:pt idx="340">
                  <c:v>-0.33654506791722444</c:v>
                </c:pt>
                <c:pt idx="341">
                  <c:v>-0.32032521673536385</c:v>
                </c:pt>
                <c:pt idx="342">
                  <c:v>-0.30401242746066337</c:v>
                </c:pt>
                <c:pt idx="343">
                  <c:v>-0.28761145781544006</c:v>
                </c:pt>
                <c:pt idx="344">
                  <c:v>-0.27112708719902012</c:v>
                </c:pt>
                <c:pt idx="345">
                  <c:v>-0.25456411548735958</c:v>
                </c:pt>
                <c:pt idx="346">
                  <c:v>-0.23792736183189619</c:v>
                </c:pt>
                <c:pt idx="347">
                  <c:v>-0.2212216634577216</c:v>
                </c:pt>
                <c:pt idx="348">
                  <c:v>-0.20445187446112892</c:v>
                </c:pt>
                <c:pt idx="349">
                  <c:v>-0.18762286460660016</c:v>
                </c:pt>
                <c:pt idx="350">
                  <c:v>-0.17073951812329699</c:v>
                </c:pt>
                <c:pt idx="351">
                  <c:v>-0.15380673250109622</c:v>
                </c:pt>
                <c:pt idx="352">
                  <c:v>-0.13682941728623615</c:v>
                </c:pt>
                <c:pt idx="353">
                  <c:v>-0.11981249287660821</c:v>
                </c:pt>
                <c:pt idx="354">
                  <c:v>-0.10276088931674771</c:v>
                </c:pt>
                <c:pt idx="355">
                  <c:v>-8.5679545092550352E-2</c:v>
                </c:pt>
                <c:pt idx="356">
                  <c:v>-6.857340592577138E-2</c:v>
                </c:pt>
                <c:pt idx="357">
                  <c:v>-5.1447423568329986E-2</c:v>
                </c:pt>
                <c:pt idx="358">
                  <c:v>-3.4306554596458184E-2</c:v>
                </c:pt>
                <c:pt idx="359">
                  <c:v>-1.7155759204731533E-2</c:v>
                </c:pt>
                <c:pt idx="360">
                  <c:v>-2.4086418623503474E-16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68-461C-AC66-22F436AAE34E}"/>
            </c:ext>
          </c:extLst>
        </c:ser>
        <c:ser>
          <c:idx val="1"/>
          <c:order val="1"/>
          <c:tx>
            <c:v>☉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52400">
                <a:solidFill>
                  <a:srgbClr val="FFFF00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E68-461C-AC66-22F436AAE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27712"/>
        <c:axId val="1600834912"/>
      </c:scatterChart>
      <c:valAx>
        <c:axId val="1600827712"/>
        <c:scaling>
          <c:orientation val="minMax"/>
          <c:max val="1.1186999999999998"/>
          <c:min val="-1.118699999999999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AU&quot;;\(0.0\ &quot;AU&quot;\);0.0\ &quot;AU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34912"/>
        <c:crosses val="autoZero"/>
        <c:crossBetween val="midCat"/>
        <c:majorUnit val="0.37289999999999995"/>
      </c:valAx>
      <c:valAx>
        <c:axId val="1600834912"/>
        <c:scaling>
          <c:orientation val="minMax"/>
          <c:max val="1.1186999999999998"/>
          <c:min val="-1.118699999999999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AU&quot;;\(0.0\ &quot;AU&quot;\);0.0\ &quot;AU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27712"/>
        <c:crosses val="autoZero"/>
        <c:crossBetween val="midCat"/>
        <c:majorUnit val="0.3728999999999999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</xdr:colOff>
      <xdr:row>3</xdr:row>
      <xdr:rowOff>171450</xdr:rowOff>
    </xdr:from>
    <xdr:to>
      <xdr:col>7</xdr:col>
      <xdr:colOff>569595</xdr:colOff>
      <xdr:row>28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00057A-5CC3-4684-9DFA-D7D19BD0001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.GitHub\AJukesProductions\amorphose\Solar-System-Explorer\Solar%20System%20Explorer%20v1.0.xlsm" TargetMode="External"/><Relationship Id="rId1" Type="http://schemas.openxmlformats.org/officeDocument/2006/relationships/externalLinkPath" Target="Solar%20System%20Explorer%20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olar System"/>
      <sheetName val="Color Key"/>
      <sheetName val="Orbital Plotter"/>
      <sheetName val="Sorting Data"/>
      <sheetName val="SolarSystem_BACKUP"/>
    </sheetNames>
    <sheetDataSet>
      <sheetData sheetId="0"/>
      <sheetData sheetId="1"/>
      <sheetData sheetId="2">
        <row r="2">
          <cell r="L2">
            <v>0.9830000000000001</v>
          </cell>
          <cell r="M2">
            <v>0</v>
          </cell>
        </row>
        <row r="3">
          <cell r="L3">
            <v>0.98285278658561481</v>
          </cell>
          <cell r="M3">
            <v>1.7155759204731488E-2</v>
          </cell>
        </row>
        <row r="4">
          <cell r="L4">
            <v>0.98241118668835337</v>
          </cell>
          <cell r="M4">
            <v>3.430655459645833E-2</v>
          </cell>
        </row>
        <row r="5">
          <cell r="L5">
            <v>0.98167532133874424</v>
          </cell>
          <cell r="M5">
            <v>5.1447423568329459E-2</v>
          </cell>
        </row>
        <row r="6">
          <cell r="L6">
            <v>0.98064539223048386</v>
          </cell>
          <cell r="M6">
            <v>6.8573405925771061E-2</v>
          </cell>
        </row>
        <row r="7">
          <cell r="L7">
            <v>0.97932168168464784</v>
          </cell>
          <cell r="M7">
            <v>8.5679545092550199E-2</v>
          </cell>
        </row>
        <row r="8">
          <cell r="L8">
            <v>0.97770455259956612</v>
          </cell>
          <cell r="M8">
            <v>0.10276088931674776</v>
          </cell>
        </row>
        <row r="9">
          <cell r="L9">
            <v>0.97579444838633755</v>
          </cell>
          <cell r="M9">
            <v>0.11981249287660846</v>
          </cell>
        </row>
        <row r="10">
          <cell r="L10">
            <v>0.97359189288995618</v>
          </cell>
          <cell r="M10">
            <v>0.13682941728623571</v>
          </cell>
        </row>
        <row r="11">
          <cell r="L11">
            <v>0.97109749029601389</v>
          </cell>
          <cell r="M11">
            <v>0.15380673250109597</v>
          </cell>
        </row>
        <row r="12">
          <cell r="L12">
            <v>0.96831192502294239</v>
          </cell>
          <cell r="M12">
            <v>0.17073951812329694</v>
          </cell>
        </row>
        <row r="13">
          <cell r="L13">
            <v>0.96523596159973934</v>
          </cell>
          <cell r="M13">
            <v>0.18762286460660027</v>
          </cell>
        </row>
        <row r="14">
          <cell r="L14">
            <v>0.96187044452913373</v>
          </cell>
          <cell r="M14">
            <v>0.20445187446112842</v>
          </cell>
        </row>
        <row r="15">
          <cell r="L15">
            <v>0.95821629813612852</v>
          </cell>
          <cell r="M15">
            <v>0.22122166345772126</v>
          </cell>
        </row>
        <row r="16">
          <cell r="L16">
            <v>0.95427452640185273</v>
          </cell>
          <cell r="M16">
            <v>0.23792736183189606</v>
          </cell>
        </row>
        <row r="17">
          <cell r="L17">
            <v>0.95004621278265766</v>
          </cell>
          <cell r="M17">
            <v>0.25456411548735963</v>
          </cell>
        </row>
        <row r="18">
          <cell r="L18">
            <v>0.94553252001437726</v>
          </cell>
          <cell r="M18">
            <v>0.27112708719902034</v>
          </cell>
        </row>
        <row r="19">
          <cell r="L19">
            <v>0.94073468990167164</v>
          </cell>
          <cell r="M19">
            <v>0.28761145781543968</v>
          </cell>
        </row>
        <row r="20">
          <cell r="L20">
            <v>0.93565404309236899</v>
          </cell>
          <cell r="M20">
            <v>0.30401242746066315</v>
          </cell>
        </row>
        <row r="21">
          <cell r="L21">
            <v>0.93029197883670911</v>
          </cell>
          <cell r="M21">
            <v>0.32032521673536385</v>
          </cell>
        </row>
        <row r="22">
          <cell r="L22">
            <v>0.92464997473139676</v>
          </cell>
          <cell r="M22">
            <v>0.33654506791722455</v>
          </cell>
        </row>
        <row r="23">
          <cell r="L23">
            <v>0.91872958644835923</v>
          </cell>
          <cell r="M23">
            <v>0.352667246160486</v>
          </cell>
        </row>
        <row r="24">
          <cell r="L24">
            <v>0.91253244744810025</v>
          </cell>
          <cell r="M24">
            <v>0.36868704069457453</v>
          </cell>
        </row>
        <row r="25">
          <cell r="L25">
            <v>0.90606026867754497</v>
          </cell>
          <cell r="M25">
            <v>0.38459976602172596</v>
          </cell>
        </row>
        <row r="26">
          <cell r="L26">
            <v>0.89931483825225123</v>
          </cell>
          <cell r="M26">
            <v>0.4004007631135087</v>
          </cell>
        </row>
        <row r="27">
          <cell r="L27">
            <v>0.89229802112287837</v>
          </cell>
          <cell r="M27">
            <v>0.4160854006061489</v>
          </cell>
        </row>
        <row r="28">
          <cell r="L28">
            <v>0.88501175872577931</v>
          </cell>
          <cell r="M28">
            <v>0.43164907599454988</v>
          </cell>
        </row>
        <row r="29">
          <cell r="L29">
            <v>0.87745806861759745</v>
          </cell>
          <cell r="M29">
            <v>0.44708721682489461</v>
          </cell>
        </row>
        <row r="30">
          <cell r="L30">
            <v>0.86963904409373294</v>
          </cell>
          <cell r="M30">
            <v>0.46239528188571039</v>
          </cell>
        </row>
        <row r="31">
          <cell r="L31">
            <v>0.86155685379054658</v>
          </cell>
          <cell r="M31">
            <v>0.47756876239726986</v>
          </cell>
        </row>
        <row r="32">
          <cell r="L32">
            <v>0.85321374127116545</v>
          </cell>
          <cell r="M32">
            <v>0.49260318319919499</v>
          </cell>
        </row>
        <row r="33">
          <cell r="L33">
            <v>0.84461202459474805</v>
          </cell>
          <cell r="M33">
            <v>0.50749410393612127</v>
          </cell>
        </row>
        <row r="34">
          <cell r="L34">
            <v>0.83575409586907279</v>
          </cell>
          <cell r="M34">
            <v>0.52223712024127344</v>
          </cell>
        </row>
        <row r="35">
          <cell r="L35">
            <v>0.82664242078630124</v>
          </cell>
          <cell r="M35">
            <v>0.53682786491779566</v>
          </cell>
        </row>
        <row r="36">
          <cell r="L36">
            <v>0.81727953814177401</v>
          </cell>
          <cell r="M36">
            <v>0.55126200911767154</v>
          </cell>
        </row>
        <row r="37">
          <cell r="L37">
            <v>0.80766805933569241</v>
          </cell>
          <cell r="M37">
            <v>0.56553526351805894</v>
          </cell>
        </row>
        <row r="38">
          <cell r="L38">
            <v>0.79781066785753674</v>
          </cell>
          <cell r="M38">
            <v>0.57964337949486</v>
          </cell>
        </row>
        <row r="39">
          <cell r="L39">
            <v>0.78771011875307306</v>
          </cell>
          <cell r="M39">
            <v>0.59358215029333117</v>
          </cell>
        </row>
        <row r="40">
          <cell r="L40">
            <v>0.77736923807380087</v>
          </cell>
          <cell r="M40">
            <v>0.60734741219553912</v>
          </cell>
        </row>
        <row r="41">
          <cell r="L41">
            <v>0.76679092230869061</v>
          </cell>
          <cell r="M41">
            <v>0.62093504568445079</v>
          </cell>
        </row>
        <row r="42">
          <cell r="L42">
            <v>0.75597813779806267</v>
          </cell>
          <cell r="M42">
            <v>0.63434097660444133</v>
          </cell>
        </row>
        <row r="43">
          <cell r="L43">
            <v>0.74493392012945925</v>
          </cell>
          <cell r="M43">
            <v>0.64756117731799123</v>
          </cell>
        </row>
        <row r="44">
          <cell r="L44">
            <v>0.73366137351536143</v>
          </cell>
          <cell r="M44">
            <v>0.66059166785833967</v>
          </cell>
        </row>
        <row r="45">
          <cell r="L45">
            <v>0.72216367015260574</v>
          </cell>
          <cell r="M45">
            <v>0.67342851707784701</v>
          </cell>
        </row>
        <row r="46">
          <cell r="L46">
            <v>0.71044404956335361</v>
          </cell>
          <cell r="M46">
            <v>0.68606784379181107</v>
          </cell>
        </row>
        <row r="47">
          <cell r="L47">
            <v>0.69850581791747368</v>
          </cell>
          <cell r="M47">
            <v>0.69850581791747357</v>
          </cell>
        </row>
        <row r="48">
          <cell r="L48">
            <v>0.6863523473361931</v>
          </cell>
          <cell r="M48">
            <v>0.71073866160794197</v>
          </cell>
        </row>
        <row r="49">
          <cell r="L49">
            <v>0.67398707517688317</v>
          </cell>
          <cell r="M49">
            <v>0.72276265038074294</v>
          </cell>
        </row>
        <row r="50">
          <cell r="L50">
            <v>0.66141350329884363</v>
          </cell>
          <cell r="M50">
            <v>0.73457411424071539</v>
          </cell>
        </row>
        <row r="51">
          <cell r="L51">
            <v>0.648635197309953</v>
          </cell>
          <cell r="M51">
            <v>0.74616943879693598</v>
          </cell>
        </row>
        <row r="52">
          <cell r="L52">
            <v>0.63565578579406223</v>
          </cell>
          <cell r="M52">
            <v>0.75754506637336916</v>
          </cell>
        </row>
        <row r="53">
          <cell r="L53">
            <v>0.62247895951900256</v>
          </cell>
          <cell r="M53">
            <v>0.76869749711291357</v>
          </cell>
        </row>
        <row r="54">
          <cell r="L54">
            <v>0.60910847062509643</v>
          </cell>
          <cell r="M54">
            <v>0.77962329007451592</v>
          </cell>
        </row>
        <row r="55">
          <cell r="L55">
            <v>0.59554813179405297</v>
          </cell>
          <cell r="M55">
            <v>0.79031906432300725</v>
          </cell>
        </row>
        <row r="56">
          <cell r="L56">
            <v>0.58180181539814435</v>
          </cell>
          <cell r="M56">
            <v>0.80078150001131321</v>
          </cell>
        </row>
        <row r="57">
          <cell r="L57">
            <v>0.56787345262956102</v>
          </cell>
          <cell r="M57">
            <v>0.81100733945467007</v>
          </cell>
        </row>
        <row r="58">
          <cell r="L58">
            <v>0.55376703260984861</v>
          </cell>
          <cell r="M58">
            <v>0.82099338819648349</v>
          </cell>
        </row>
        <row r="59">
          <cell r="L59">
            <v>0.53948660147934258</v>
          </cell>
          <cell r="M59">
            <v>0.83073651606544008</v>
          </cell>
        </row>
        <row r="60">
          <cell r="L60">
            <v>0.52503626146651594</v>
          </cell>
          <cell r="M60">
            <v>0.84023365822349072</v>
          </cell>
        </row>
        <row r="61">
          <cell r="L61">
            <v>0.51042016993717021</v>
          </cell>
          <cell r="M61">
            <v>0.84948181620429719</v>
          </cell>
        </row>
        <row r="62">
          <cell r="L62">
            <v>0.49564253842340122</v>
          </cell>
          <cell r="M62">
            <v>0.85847805894174012</v>
          </cell>
        </row>
        <row r="63">
          <cell r="L63">
            <v>0.48070763163228608</v>
          </cell>
          <cell r="M63">
            <v>0.86721952378806799</v>
          </cell>
        </row>
        <row r="64">
          <cell r="L64">
            <v>0.46561976643424369</v>
          </cell>
          <cell r="M64">
            <v>0.87570341752125958</v>
          </cell>
        </row>
        <row r="65">
          <cell r="L65">
            <v>0.45038331083102706</v>
          </cell>
          <cell r="M65">
            <v>0.8839270173411653</v>
          </cell>
        </row>
        <row r="66">
          <cell r="L66">
            <v>0.43500268290332422</v>
          </cell>
          <cell r="M66">
            <v>0.89188767185398599</v>
          </cell>
        </row>
        <row r="67">
          <cell r="L67">
            <v>0.41948234973794479</v>
          </cell>
          <cell r="M67">
            <v>0.89958280204463359</v>
          </cell>
        </row>
        <row r="68">
          <cell r="L68">
            <v>0.40382682633458744</v>
          </cell>
          <cell r="M68">
            <v>0.9070099022365149</v>
          </cell>
        </row>
        <row r="69">
          <cell r="L69">
            <v>0.38804067449219104</v>
          </cell>
          <cell r="M69">
            <v>0.91416654103827322</v>
          </cell>
        </row>
        <row r="70">
          <cell r="L70">
            <v>0.37212850167488309</v>
          </cell>
          <cell r="M70">
            <v>0.92105036227700732</v>
          </cell>
        </row>
        <row r="71">
          <cell r="L71">
            <v>0.35609495985755313</v>
          </cell>
          <cell r="M71">
            <v>0.92765908591748958</v>
          </cell>
        </row>
        <row r="72">
          <cell r="L72">
            <v>0.33994474435108962</v>
          </cell>
          <cell r="M72">
            <v>0.93399050896689273</v>
          </cell>
        </row>
        <row r="73">
          <cell r="L73">
            <v>0.32368259260733234</v>
          </cell>
          <cell r="M73">
            <v>0.94004250636452613</v>
          </cell>
        </row>
        <row r="74">
          <cell r="L74">
            <v>0.30731328300380245</v>
          </cell>
          <cell r="M74">
            <v>0.94581303185608223</v>
          </cell>
        </row>
        <row r="75">
          <cell r="L75">
            <v>0.29084163360829107</v>
          </cell>
          <cell r="M75">
            <v>0.95130011885188381</v>
          </cell>
        </row>
        <row r="76">
          <cell r="L76">
            <v>0.27427250092339478</v>
          </cell>
          <cell r="M76">
            <v>0.95650188126861602</v>
          </cell>
        </row>
        <row r="77">
          <cell r="L77">
            <v>0.25761077861110598</v>
          </cell>
          <cell r="M77">
            <v>0.96141651435402542</v>
          </cell>
        </row>
        <row r="78">
          <cell r="L78">
            <v>0.2408613961975761</v>
          </cell>
          <cell r="M78">
            <v>0.9660422954940614</v>
          </cell>
        </row>
        <row r="79">
          <cell r="L79">
            <v>0.22402931775818763</v>
          </cell>
          <cell r="M79">
            <v>0.97037758500192905</v>
          </cell>
        </row>
        <row r="80">
          <cell r="L80">
            <v>0.20711954058308468</v>
          </cell>
          <cell r="M80">
            <v>0.97442082688852416</v>
          </cell>
        </row>
        <row r="81">
          <cell r="L81">
            <v>0.19013709382332492</v>
          </cell>
          <cell r="M81">
            <v>0.97817054961370942</v>
          </cell>
        </row>
        <row r="82">
          <cell r="L82">
            <v>0.1730870371178389</v>
          </cell>
          <cell r="M82">
            <v>0.98162536681789503</v>
          </cell>
        </row>
        <row r="83">
          <cell r="L83">
            <v>0.15597445920138747</v>
          </cell>
          <cell r="M83">
            <v>0.98478397803338058</v>
          </cell>
        </row>
        <row r="84">
          <cell r="L84">
            <v>0.1388044764937349</v>
          </cell>
          <cell r="M84">
            <v>0.98764516937491165</v>
          </cell>
        </row>
        <row r="85">
          <cell r="L85">
            <v>0.12158223167026583</v>
          </cell>
          <cell r="M85">
            <v>0.99020781420890891</v>
          </cell>
        </row>
        <row r="86">
          <cell r="L86">
            <v>0.10431289221429231</v>
          </cell>
          <cell r="M86">
            <v>0.99247087380081467</v>
          </cell>
        </row>
        <row r="87">
          <cell r="L87">
            <v>8.7001648951315486E-2</v>
          </cell>
          <cell r="M87">
            <v>0.99443339794001795</v>
          </cell>
        </row>
        <row r="88">
          <cell r="L88">
            <v>6.9653714565521593E-2</v>
          </cell>
          <cell r="M88">
            <v>0.99609452554179956</v>
          </cell>
        </row>
        <row r="89">
          <cell r="L89">
            <v>5.2274322098811873E-2</v>
          </cell>
          <cell r="M89">
            <v>0.99745348522575827</v>
          </cell>
        </row>
        <row r="90">
          <cell r="L90">
            <v>3.486872343268025E-2</v>
          </cell>
          <cell r="M90">
            <v>0.99850959587016297</v>
          </cell>
        </row>
        <row r="91">
          <cell r="L91">
            <v>1.7442187753276189E-2</v>
          </cell>
          <cell r="M91">
            <v>0.99926226714169009</v>
          </cell>
        </row>
        <row r="92">
          <cell r="L92">
            <v>6.1239719350257574E-17</v>
          </cell>
          <cell r="M92">
            <v>0.99971100000000002</v>
          </cell>
        </row>
        <row r="93">
          <cell r="L93">
            <v>-1.7452540701995908E-2</v>
          </cell>
          <cell r="M93">
            <v>0.99985538717661482</v>
          </cell>
        </row>
        <row r="94">
          <cell r="L94">
            <v>-3.4910122625014341E-2</v>
          </cell>
          <cell r="M94">
            <v>0.99969511362755359</v>
          </cell>
        </row>
        <row r="95">
          <cell r="L95">
            <v>-5.2367423037320462E-2</v>
          </cell>
          <cell r="M95">
            <v>0.9992299569591987</v>
          </cell>
        </row>
        <row r="96">
          <cell r="L96">
            <v>-6.9819109816526115E-2</v>
          </cell>
          <cell r="M96">
            <v>0.99845978782685907</v>
          </cell>
        </row>
        <row r="97">
          <cell r="L97">
            <v>-8.7259843077406904E-2</v>
          </cell>
          <cell r="M97">
            <v>0.99738457030550753</v>
          </cell>
        </row>
        <row r="98">
          <cell r="L98">
            <v>-0.10468427681369076</v>
          </cell>
          <cell r="M98">
            <v>0.99600436223217614</v>
          </cell>
        </row>
        <row r="99">
          <cell r="L99">
            <v>-0.12208706055333757</v>
          </cell>
          <cell r="M99">
            <v>0.99431931551949382</v>
          </cell>
        </row>
        <row r="100">
          <cell r="L100">
            <v>-0.13946284102681272</v>
          </cell>
          <cell r="M100">
            <v>0.99232967643986614</v>
          </cell>
        </row>
        <row r="101">
          <cell r="L101">
            <v>-0.15680626384783408</v>
          </cell>
          <cell r="M101">
            <v>0.99003578587979724</v>
          </cell>
        </row>
        <row r="102">
          <cell r="L102">
            <v>-0.17411197520606145</v>
          </cell>
          <cell r="M102">
            <v>0.98743807956386587</v>
          </cell>
        </row>
        <row r="103">
          <cell r="L103">
            <v>-0.19137462357117205</v>
          </cell>
          <cell r="M103">
            <v>0.98453708824787955</v>
          </cell>
        </row>
        <row r="104">
          <cell r="L104">
            <v>-0.20858886140775065</v>
          </cell>
          <cell r="M104">
            <v>0.98133343788073202</v>
          </cell>
        </row>
        <row r="105">
          <cell r="L105">
            <v>-0.22574934690040527</v>
          </cell>
          <cell r="M105">
            <v>0.97782784973450998</v>
          </cell>
        </row>
        <row r="106">
          <cell r="L106">
            <v>-0.24285074568850035</v>
          </cell>
          <cell r="M106">
            <v>0.97402114050239919</v>
          </cell>
        </row>
        <row r="107">
          <cell r="L107">
            <v>-0.25988773260988135</v>
          </cell>
          <cell r="M107">
            <v>0.96991422236395175</v>
          </cell>
        </row>
        <row r="108">
          <cell r="L108">
            <v>-0.27685499345294967</v>
          </cell>
          <cell r="M108">
            <v>0.9655081030172975</v>
          </cell>
        </row>
        <row r="109">
          <cell r="L109">
            <v>-0.293747226716427</v>
          </cell>
          <cell r="M109">
            <v>0.96080388567788011</v>
          </cell>
        </row>
        <row r="110">
          <cell r="L110">
            <v>-0.31055914537612933</v>
          </cell>
          <cell r="M110">
            <v>0.95580276904332984</v>
          </cell>
        </row>
        <row r="111">
          <cell r="L111">
            <v>-0.32728547865806318</v>
          </cell>
          <cell r="M111">
            <v>0.9505060472240856</v>
          </cell>
        </row>
        <row r="112">
          <cell r="L112">
            <v>-0.34392097381712744</v>
          </cell>
          <cell r="M112">
            <v>0.94491510963940206</v>
          </cell>
        </row>
        <row r="113">
          <cell r="L113">
            <v>-0.36046039792069878</v>
          </cell>
          <cell r="M113">
            <v>0.93903144087838875</v>
          </cell>
        </row>
        <row r="114">
          <cell r="L114">
            <v>-0.37689853963635717</v>
          </cell>
          <cell r="M114">
            <v>0.93285662052574825</v>
          </cell>
        </row>
        <row r="115">
          <cell r="L115">
            <v>-0.39323021102299494</v>
          </cell>
          <cell r="M115">
            <v>0.92639232295189611</v>
          </cell>
        </row>
        <row r="116">
          <cell r="L116">
            <v>-0.40945024932453711</v>
          </cell>
          <cell r="M116">
            <v>0.9196403170671601</v>
          </cell>
        </row>
        <row r="117">
          <cell r="L117">
            <v>-0.42555351876548753</v>
          </cell>
          <cell r="M117">
            <v>0.91260246603978268</v>
          </cell>
        </row>
        <row r="118">
          <cell r="L118">
            <v>-0.44153491234749964</v>
          </cell>
          <cell r="M118">
            <v>0.9052807269774561</v>
          </cell>
        </row>
        <row r="119">
          <cell r="L119">
            <v>-0.45738935364615718</v>
          </cell>
          <cell r="M119">
            <v>0.89767715057215891</v>
          </cell>
        </row>
        <row r="120">
          <cell r="L120">
            <v>-0.47311179860714297</v>
          </cell>
          <cell r="M120">
            <v>0.88979388070805732</v>
          </cell>
        </row>
        <row r="121">
          <cell r="L121">
            <v>-0.48869723734094772</v>
          </cell>
          <cell r="M121">
            <v>0.88163315403228315</v>
          </cell>
        </row>
        <row r="122">
          <cell r="L122">
            <v>-0.50414069591527966</v>
          </cell>
          <cell r="M122">
            <v>0.87319729948839642</v>
          </cell>
        </row>
        <row r="123">
          <cell r="L123">
            <v>-0.51943723814430276</v>
          </cell>
          <cell r="M123">
            <v>0.86448873781238278</v>
          </cell>
        </row>
        <row r="124">
          <cell r="L124">
            <v>-0.53458196737383379</v>
          </cell>
          <cell r="M124">
            <v>0.8555099809910427</v>
          </cell>
        </row>
        <row r="125">
          <cell r="L125">
            <v>-0.54957002826162271</v>
          </cell>
          <cell r="M125">
            <v>0.84626363168266294</v>
          </cell>
        </row>
        <row r="126">
          <cell r="L126">
            <v>-0.56439660855181084</v>
          </cell>
          <cell r="M126">
            <v>0.83675238259987894</v>
          </cell>
        </row>
        <row r="127">
          <cell r="L127">
            <v>-0.57905694084267967</v>
          </cell>
          <cell r="M127">
            <v>0.82697901585465927</v>
          </cell>
        </row>
        <row r="128">
          <cell r="L128">
            <v>-0.59354630434677202</v>
          </cell>
          <cell r="M128">
            <v>0.81694640226537796</v>
          </cell>
        </row>
        <row r="129">
          <cell r="L129">
            <v>-0.60786002664247718</v>
          </cell>
          <cell r="M129">
            <v>0.80665750062594366</v>
          </cell>
        </row>
        <row r="130">
          <cell r="L130">
            <v>-0.62199348541615151</v>
          </cell>
          <cell r="M130">
            <v>0.79611535693701097</v>
          </cell>
        </row>
        <row r="131">
          <cell r="L131">
            <v>-0.63594211019385216</v>
          </cell>
          <cell r="M131">
            <v>0.7853231035992887</v>
          </cell>
        </row>
        <row r="132">
          <cell r="L132">
            <v>-0.64970138406174849</v>
          </cell>
          <cell r="M132">
            <v>0.77428395856901922</v>
          </cell>
        </row>
        <row r="133">
          <cell r="L133">
            <v>-0.66326684537427216</v>
          </cell>
          <cell r="M133">
            <v>0.7630012244757054</v>
          </cell>
        </row>
        <row r="134">
          <cell r="L134">
            <v>-0.67663408944907477</v>
          </cell>
          <cell r="M134">
            <v>0.75147828770219793</v>
          </cell>
        </row>
        <row r="135">
          <cell r="L135">
            <v>-0.68979877024783687</v>
          </cell>
          <cell r="M135">
            <v>0.7397186174272854</v>
          </cell>
        </row>
        <row r="136">
          <cell r="L136">
            <v>-0.7027566020419993</v>
          </cell>
          <cell r="M136">
            <v>0.72772576463094585</v>
          </cell>
        </row>
        <row r="137">
          <cell r="L137">
            <v>-0.71550336106245815</v>
          </cell>
          <cell r="M137">
            <v>0.71550336106245827</v>
          </cell>
        </row>
        <row r="138">
          <cell r="L138">
            <v>-0.7280348871322917</v>
          </cell>
          <cell r="M138">
            <v>0.70305511817158894</v>
          </cell>
        </row>
        <row r="139">
          <cell r="L139">
            <v>-0.74034708528156434</v>
          </cell>
          <cell r="M139">
            <v>0.6903848260031048</v>
          </cell>
        </row>
        <row r="140">
          <cell r="L140">
            <v>-0.75243592734327458</v>
          </cell>
          <cell r="M140">
            <v>0.67749635205488035</v>
          </cell>
        </row>
        <row r="141">
          <cell r="L141">
            <v>-0.76429745352950362</v>
          </cell>
          <cell r="M141">
            <v>0.66439364009991131</v>
          </cell>
        </row>
        <row r="142">
          <cell r="L142">
            <v>-0.77592777398682955</v>
          </cell>
          <cell r="M142">
            <v>0.65108070897255677</v>
          </cell>
        </row>
        <row r="143">
          <cell r="L143">
            <v>-0.78732307033008164</v>
          </cell>
          <cell r="M143">
            <v>0.6375616513193697</v>
          </cell>
        </row>
        <row r="144">
          <cell r="L144">
            <v>-0.79847959715350247</v>
          </cell>
          <cell r="M144">
            <v>0.62384063231490572</v>
          </cell>
        </row>
        <row r="145">
          <cell r="L145">
            <v>-0.80939368351840757</v>
          </cell>
          <cell r="M145">
            <v>0.60992188834291505</v>
          </cell>
        </row>
        <row r="146">
          <cell r="L146">
            <v>-0.82006173441642416</v>
          </cell>
          <cell r="M146">
            <v>0.59580972564336987</v>
          </cell>
        </row>
        <row r="147">
          <cell r="L147">
            <v>-0.83048023220741551</v>
          </cell>
          <cell r="M147">
            <v>0.58150851892578237</v>
          </cell>
        </row>
        <row r="148">
          <cell r="L148">
            <v>-0.84064573803118736</v>
          </cell>
          <cell r="M148">
            <v>0.56702270994932336</v>
          </cell>
        </row>
        <row r="149">
          <cell r="L149">
            <v>-0.85055489319210487</v>
          </cell>
          <cell r="M149">
            <v>0.55235680607025073</v>
          </cell>
        </row>
        <row r="150">
          <cell r="L150">
            <v>-0.86020442051574009</v>
          </cell>
          <cell r="M150">
            <v>0.53751537875720901</v>
          </cell>
        </row>
        <row r="151">
          <cell r="L151">
            <v>-0.86959112567669294</v>
          </cell>
          <cell r="M151">
            <v>0.52250306207497099</v>
          </cell>
        </row>
        <row r="152">
          <cell r="L152">
            <v>-0.87871189849674414</v>
          </cell>
          <cell r="M152">
            <v>0.50732455113722219</v>
          </cell>
        </row>
        <row r="153">
          <cell r="L153">
            <v>-0.88756371421249802</v>
          </cell>
          <cell r="M153">
            <v>0.49198460052902643</v>
          </cell>
        </row>
        <row r="154">
          <cell r="L154">
            <v>-0.89614363471170821</v>
          </cell>
          <cell r="M154">
            <v>0.4764880226996141</v>
          </cell>
        </row>
        <row r="155">
          <cell r="L155">
            <v>-0.90444880973747566</v>
          </cell>
          <cell r="M155">
            <v>0.46083968632618849</v>
          </cell>
        </row>
        <row r="156">
          <cell r="L156">
            <v>-0.91247647805954168</v>
          </cell>
          <cell r="M156">
            <v>0.44504451464944061</v>
          </cell>
        </row>
        <row r="157">
          <cell r="L157">
            <v>-0.92022396861189881</v>
          </cell>
          <cell r="M157">
            <v>0.42910748378151353</v>
          </cell>
        </row>
        <row r="158">
          <cell r="L158">
            <v>-0.92768870159598138</v>
          </cell>
          <cell r="M158">
            <v>0.41303362098716195</v>
          </cell>
        </row>
        <row r="159">
          <cell r="L159">
            <v>-0.93486818954869655</v>
          </cell>
          <cell r="M159">
            <v>0.39682800293888887</v>
          </cell>
        </row>
        <row r="160">
          <cell r="L160">
            <v>-0.94176003837458855</v>
          </cell>
          <cell r="M160">
            <v>0.3804957539468577</v>
          </cell>
        </row>
        <row r="161">
          <cell r="L161">
            <v>-0.94836194834145149</v>
          </cell>
          <cell r="M161">
            <v>0.36404204416439806</v>
          </cell>
        </row>
        <row r="162">
          <cell r="L162">
            <v>-0.95467171503871473</v>
          </cell>
          <cell r="M162">
            <v>0.34747208776995836</v>
          </cell>
        </row>
        <row r="163">
          <cell r="L163">
            <v>-0.96068723029796088</v>
          </cell>
          <cell r="M163">
            <v>0.33079114112635577</v>
          </cell>
        </row>
        <row r="164">
          <cell r="L164">
            <v>-0.96640648307495569</v>
          </cell>
          <cell r="M164">
            <v>0.31400450091822607</v>
          </cell>
        </row>
        <row r="165">
          <cell r="L165">
            <v>-0.97182756029258599</v>
          </cell>
          <cell r="M165">
            <v>0.29711750226855949</v>
          </cell>
        </row>
        <row r="166">
          <cell r="L166">
            <v>-0.97694864764413658</v>
          </cell>
          <cell r="M166">
            <v>0.28013551683526372</v>
          </cell>
        </row>
        <row r="167">
          <cell r="L167">
            <v>-0.9817680303563554</v>
          </cell>
          <cell r="M167">
            <v>0.26306395088867968</v>
          </cell>
        </row>
        <row r="168">
          <cell r="L168">
            <v>-0.98628409391178495</v>
          </cell>
          <cell r="M168">
            <v>0.24590824337102143</v>
          </cell>
        </row>
        <row r="169">
          <cell r="L169">
            <v>-0.9904953247298629</v>
          </cell>
          <cell r="M169">
            <v>0.22867386393871092</v>
          </cell>
        </row>
        <row r="170">
          <cell r="L170">
            <v>-0.99440031080632429</v>
          </cell>
          <cell r="M170">
            <v>0.2113663109885936</v>
          </cell>
        </row>
        <row r="171">
          <cell r="L171">
            <v>-0.99799774231046057</v>
          </cell>
          <cell r="M171">
            <v>0.19399110966905259</v>
          </cell>
        </row>
        <row r="172">
          <cell r="L172">
            <v>-1.0012864121398257</v>
          </cell>
          <cell r="M172">
            <v>0.1765538098770271</v>
          </cell>
        </row>
        <row r="173">
          <cell r="L173">
            <v>-1.0042652164320029</v>
          </cell>
          <cell r="M173">
            <v>0.15905998424198223</v>
          </cell>
        </row>
        <row r="174">
          <cell r="L174">
            <v>-1.0069331550330738</v>
          </cell>
          <cell r="M174">
            <v>0.1415152260978606</v>
          </cell>
        </row>
        <row r="175">
          <cell r="L175">
            <v>-1.0092893319224665</v>
          </cell>
          <cell r="M175">
            <v>0.12392514744408606</v>
          </cell>
        </row>
        <row r="176">
          <cell r="L176">
            <v>-1.0113329555938875</v>
          </cell>
          <cell r="M176">
            <v>0.10629537689667215</v>
          </cell>
        </row>
        <row r="177">
          <cell r="L177">
            <v>-1.0130633393920665</v>
          </cell>
          <cell r="M177">
            <v>8.8631557630521482E-2</v>
          </cell>
        </row>
        <row r="178">
          <cell r="L178">
            <v>-1.014479901805081</v>
          </cell>
          <cell r="M178">
            <v>7.0939345313995039E-2</v>
          </cell>
        </row>
        <row r="179">
          <cell r="L179">
            <v>-1.0155821667120577</v>
          </cell>
          <cell r="M179">
            <v>5.322440603683825E-2</v>
          </cell>
        </row>
        <row r="180">
          <cell r="L180">
            <v>-1.0163697635860747</v>
          </cell>
          <cell r="M180">
            <v>3.5492414232571622E-2</v>
          </cell>
        </row>
        <row r="181">
          <cell r="L181">
            <v>-1.0168424276521195</v>
          </cell>
          <cell r="M181">
            <v>1.7749050596434064E-2</v>
          </cell>
        </row>
        <row r="182">
          <cell r="L182">
            <v>-1.0170000000000001</v>
          </cell>
          <cell r="M182">
            <v>1.2459759786420666E-16</v>
          </cell>
        </row>
        <row r="183">
          <cell r="L183">
            <v>-1.0168424276521195</v>
          </cell>
          <cell r="M183">
            <v>-1.7749050596434265E-2</v>
          </cell>
        </row>
        <row r="184">
          <cell r="L184">
            <v>-1.0163697635860747</v>
          </cell>
          <cell r="M184">
            <v>-3.5492414232571372E-2</v>
          </cell>
        </row>
        <row r="185">
          <cell r="L185">
            <v>-1.0155821667120577</v>
          </cell>
          <cell r="M185">
            <v>-5.3224406036838E-2</v>
          </cell>
        </row>
        <row r="186">
          <cell r="L186">
            <v>-1.014479901805081</v>
          </cell>
          <cell r="M186">
            <v>-7.0939345313994775E-2</v>
          </cell>
        </row>
        <row r="187">
          <cell r="L187">
            <v>-1.0130633393920665</v>
          </cell>
          <cell r="M187">
            <v>-8.8631557630521218E-2</v>
          </cell>
        </row>
        <row r="188">
          <cell r="L188">
            <v>-1.0113329555938875</v>
          </cell>
          <cell r="M188">
            <v>-0.10629537689667191</v>
          </cell>
        </row>
        <row r="189">
          <cell r="L189">
            <v>-1.0092893319224667</v>
          </cell>
          <cell r="M189">
            <v>-0.12392514744408582</v>
          </cell>
        </row>
        <row r="190">
          <cell r="L190">
            <v>-1.0069331550330738</v>
          </cell>
          <cell r="M190">
            <v>-0.1415152260978608</v>
          </cell>
        </row>
        <row r="191">
          <cell r="L191">
            <v>-1.0042652164320032</v>
          </cell>
          <cell r="M191">
            <v>-0.15905998424198198</v>
          </cell>
        </row>
        <row r="192">
          <cell r="L192">
            <v>-1.0012864121398257</v>
          </cell>
          <cell r="M192">
            <v>-0.17655380987702732</v>
          </cell>
        </row>
        <row r="193">
          <cell r="L193">
            <v>-0.99799774231046057</v>
          </cell>
          <cell r="M193">
            <v>-0.19399110966905234</v>
          </cell>
        </row>
        <row r="194">
          <cell r="L194">
            <v>-0.99440031080632418</v>
          </cell>
          <cell r="M194">
            <v>-0.21136631098859382</v>
          </cell>
        </row>
        <row r="195">
          <cell r="L195">
            <v>-0.99049532472986301</v>
          </cell>
          <cell r="M195">
            <v>-0.2286738639387107</v>
          </cell>
        </row>
        <row r="196">
          <cell r="L196">
            <v>-0.98628409391178495</v>
          </cell>
          <cell r="M196">
            <v>-0.24590824337102121</v>
          </cell>
        </row>
        <row r="197">
          <cell r="L197">
            <v>-0.98176803035635551</v>
          </cell>
          <cell r="M197">
            <v>-0.26306395088867945</v>
          </cell>
        </row>
        <row r="198">
          <cell r="L198">
            <v>-0.97694864764413658</v>
          </cell>
          <cell r="M198">
            <v>-0.28013551683526344</v>
          </cell>
        </row>
        <row r="199">
          <cell r="L199">
            <v>-0.97182756029258588</v>
          </cell>
          <cell r="M199">
            <v>-0.29711750226855965</v>
          </cell>
        </row>
        <row r="200">
          <cell r="L200">
            <v>-0.9664064830749558</v>
          </cell>
          <cell r="M200">
            <v>-0.31400450091822579</v>
          </cell>
        </row>
        <row r="201">
          <cell r="L201">
            <v>-0.96068723029796077</v>
          </cell>
          <cell r="M201">
            <v>-0.33079114112635594</v>
          </cell>
        </row>
        <row r="202">
          <cell r="L202">
            <v>-0.95467171503871484</v>
          </cell>
          <cell r="M202">
            <v>-0.34747208776995814</v>
          </cell>
        </row>
        <row r="203">
          <cell r="L203">
            <v>-0.94836194834145149</v>
          </cell>
          <cell r="M203">
            <v>-0.36404204416439828</v>
          </cell>
        </row>
        <row r="204">
          <cell r="L204">
            <v>-0.94176003837458866</v>
          </cell>
          <cell r="M204">
            <v>-0.38049575394685747</v>
          </cell>
        </row>
        <row r="205">
          <cell r="L205">
            <v>-0.93486818954869655</v>
          </cell>
          <cell r="M205">
            <v>-0.39682800293888865</v>
          </cell>
        </row>
        <row r="206">
          <cell r="L206">
            <v>-0.92768870159598149</v>
          </cell>
          <cell r="M206">
            <v>-0.41303362098716173</v>
          </cell>
        </row>
        <row r="207">
          <cell r="L207">
            <v>-0.92022396861189892</v>
          </cell>
          <cell r="M207">
            <v>-0.42910748378151331</v>
          </cell>
        </row>
        <row r="208">
          <cell r="L208">
            <v>-0.91247647805954157</v>
          </cell>
          <cell r="M208">
            <v>-0.44504451464944078</v>
          </cell>
        </row>
        <row r="209">
          <cell r="L209">
            <v>-0.90444880973747577</v>
          </cell>
          <cell r="M209">
            <v>-0.46083968632618832</v>
          </cell>
        </row>
        <row r="210">
          <cell r="L210">
            <v>-0.8961436347117081</v>
          </cell>
          <cell r="M210">
            <v>-0.47648802269961427</v>
          </cell>
        </row>
        <row r="211">
          <cell r="L211">
            <v>-0.88756371421249813</v>
          </cell>
          <cell r="M211">
            <v>-0.49198460052902621</v>
          </cell>
        </row>
        <row r="212">
          <cell r="L212">
            <v>-0.87871189849674403</v>
          </cell>
          <cell r="M212">
            <v>-0.50732455113722241</v>
          </cell>
        </row>
        <row r="213">
          <cell r="L213">
            <v>-0.86959112567669306</v>
          </cell>
          <cell r="M213">
            <v>-0.52250306207497077</v>
          </cell>
        </row>
        <row r="214">
          <cell r="L214">
            <v>-0.8602044205157402</v>
          </cell>
          <cell r="M214">
            <v>-0.53751537875720889</v>
          </cell>
        </row>
        <row r="215">
          <cell r="L215">
            <v>-0.85055489319210498</v>
          </cell>
          <cell r="M215">
            <v>-0.55235680607025051</v>
          </cell>
        </row>
        <row r="216">
          <cell r="L216">
            <v>-0.84064573803118758</v>
          </cell>
          <cell r="M216">
            <v>-0.56702270994932313</v>
          </cell>
        </row>
        <row r="217">
          <cell r="L217">
            <v>-0.8304802322074154</v>
          </cell>
          <cell r="M217">
            <v>-0.58150851892578259</v>
          </cell>
        </row>
        <row r="218">
          <cell r="L218">
            <v>-0.82006173441642438</v>
          </cell>
          <cell r="M218">
            <v>-0.59580972564336965</v>
          </cell>
        </row>
        <row r="219">
          <cell r="L219">
            <v>-0.80939368351840746</v>
          </cell>
          <cell r="M219">
            <v>-0.60992188834291527</v>
          </cell>
        </row>
        <row r="220">
          <cell r="L220">
            <v>-0.79847959715350258</v>
          </cell>
          <cell r="M220">
            <v>-0.6238406323149055</v>
          </cell>
        </row>
        <row r="221">
          <cell r="L221">
            <v>-0.78732307033008153</v>
          </cell>
          <cell r="M221">
            <v>-0.63756165131936993</v>
          </cell>
        </row>
        <row r="222">
          <cell r="L222">
            <v>-0.77592777398682966</v>
          </cell>
          <cell r="M222">
            <v>-0.65108070897255654</v>
          </cell>
        </row>
        <row r="223">
          <cell r="L223">
            <v>-0.76429745352950373</v>
          </cell>
          <cell r="M223">
            <v>-0.66439364009991109</v>
          </cell>
        </row>
        <row r="224">
          <cell r="L224">
            <v>-0.7524359273432748</v>
          </cell>
          <cell r="M224">
            <v>-0.67749635205488024</v>
          </cell>
        </row>
        <row r="225">
          <cell r="L225">
            <v>-0.74034708528156445</v>
          </cell>
          <cell r="M225">
            <v>-0.69038482600310458</v>
          </cell>
        </row>
        <row r="226">
          <cell r="L226">
            <v>-0.72803488713229159</v>
          </cell>
          <cell r="M226">
            <v>-0.70305511817158917</v>
          </cell>
        </row>
        <row r="227">
          <cell r="L227">
            <v>-0.71550336106245838</v>
          </cell>
          <cell r="M227">
            <v>-0.71550336106245815</v>
          </cell>
        </row>
        <row r="228">
          <cell r="L228">
            <v>-0.70275660204199919</v>
          </cell>
          <cell r="M228">
            <v>-0.72772576463094596</v>
          </cell>
        </row>
        <row r="229">
          <cell r="L229">
            <v>-0.68979877024783709</v>
          </cell>
          <cell r="M229">
            <v>-0.73971861742728529</v>
          </cell>
        </row>
        <row r="230">
          <cell r="L230">
            <v>-0.67663408944907466</v>
          </cell>
          <cell r="M230">
            <v>-0.75147828770219804</v>
          </cell>
        </row>
        <row r="231">
          <cell r="L231">
            <v>-0.66326684537427227</v>
          </cell>
          <cell r="M231">
            <v>-0.76300122447570529</v>
          </cell>
        </row>
        <row r="232">
          <cell r="L232">
            <v>-0.6497013840617486</v>
          </cell>
          <cell r="M232">
            <v>-0.7742839585690191</v>
          </cell>
        </row>
        <row r="233">
          <cell r="L233">
            <v>-0.63594211019385272</v>
          </cell>
          <cell r="M233">
            <v>-0.78532310359928825</v>
          </cell>
        </row>
        <row r="234">
          <cell r="L234">
            <v>-0.62199348541615129</v>
          </cell>
          <cell r="M234">
            <v>-0.79611535693701108</v>
          </cell>
        </row>
        <row r="235">
          <cell r="L235">
            <v>-0.60786002664247707</v>
          </cell>
          <cell r="M235">
            <v>-0.80665750062594377</v>
          </cell>
        </row>
        <row r="236">
          <cell r="L236">
            <v>-0.59354630434677225</v>
          </cell>
          <cell r="M236">
            <v>-0.81694640226537785</v>
          </cell>
        </row>
        <row r="237">
          <cell r="L237">
            <v>-0.57905694084267989</v>
          </cell>
          <cell r="M237">
            <v>-0.82697901585465916</v>
          </cell>
        </row>
        <row r="238">
          <cell r="L238">
            <v>-0.56439660855181073</v>
          </cell>
          <cell r="M238">
            <v>-0.83675238259987905</v>
          </cell>
        </row>
        <row r="239">
          <cell r="L239">
            <v>-0.5495700282616226</v>
          </cell>
          <cell r="M239">
            <v>-0.84626363168266305</v>
          </cell>
        </row>
        <row r="240">
          <cell r="L240">
            <v>-0.53458196737383401</v>
          </cell>
          <cell r="M240">
            <v>-0.85550998099104258</v>
          </cell>
        </row>
        <row r="241">
          <cell r="L241">
            <v>-0.51943723814430298</v>
          </cell>
          <cell r="M241">
            <v>-0.86448873781238256</v>
          </cell>
        </row>
        <row r="242">
          <cell r="L242">
            <v>-0.50414069591528032</v>
          </cell>
          <cell r="M242">
            <v>-0.87319729948839608</v>
          </cell>
        </row>
        <row r="243">
          <cell r="L243">
            <v>-0.48869723734094755</v>
          </cell>
          <cell r="M243">
            <v>-0.88163315403228326</v>
          </cell>
        </row>
        <row r="244">
          <cell r="L244">
            <v>-0.47311179860714281</v>
          </cell>
          <cell r="M244">
            <v>-0.88979388070805743</v>
          </cell>
        </row>
        <row r="245">
          <cell r="L245">
            <v>-0.4573893536461574</v>
          </cell>
          <cell r="M245">
            <v>-0.8976771505721588</v>
          </cell>
        </row>
        <row r="246">
          <cell r="L246">
            <v>-0.44153491234749986</v>
          </cell>
          <cell r="M246">
            <v>-0.90528072697745599</v>
          </cell>
        </row>
        <row r="247">
          <cell r="L247">
            <v>-0.42555351876548736</v>
          </cell>
          <cell r="M247">
            <v>-0.91260246603978268</v>
          </cell>
        </row>
        <row r="248">
          <cell r="L248">
            <v>-0.40945024932453694</v>
          </cell>
          <cell r="M248">
            <v>-0.91964031706716021</v>
          </cell>
        </row>
        <row r="249">
          <cell r="L249">
            <v>-0.39323021102299499</v>
          </cell>
          <cell r="M249">
            <v>-0.92639232295189611</v>
          </cell>
        </row>
        <row r="250">
          <cell r="L250">
            <v>-0.37689853963635739</v>
          </cell>
          <cell r="M250">
            <v>-0.93285662052574814</v>
          </cell>
        </row>
        <row r="251">
          <cell r="L251">
            <v>-0.36046039792069923</v>
          </cell>
          <cell r="M251">
            <v>-0.93903144087838863</v>
          </cell>
        </row>
        <row r="252">
          <cell r="L252">
            <v>-0.34392097381712727</v>
          </cell>
          <cell r="M252">
            <v>-0.94491510963940206</v>
          </cell>
        </row>
        <row r="253">
          <cell r="L253">
            <v>-0.32728547865806318</v>
          </cell>
          <cell r="M253">
            <v>-0.9505060472240856</v>
          </cell>
        </row>
        <row r="254">
          <cell r="L254">
            <v>-0.31055914537612955</v>
          </cell>
          <cell r="M254">
            <v>-0.95580276904332973</v>
          </cell>
        </row>
        <row r="255">
          <cell r="L255">
            <v>-0.29374722671642745</v>
          </cell>
          <cell r="M255">
            <v>-0.96080388567787989</v>
          </cell>
        </row>
        <row r="256">
          <cell r="L256">
            <v>-0.2768549934529495</v>
          </cell>
          <cell r="M256">
            <v>-0.96550810301729761</v>
          </cell>
        </row>
        <row r="257">
          <cell r="L257">
            <v>-0.25988773260988113</v>
          </cell>
          <cell r="M257">
            <v>-0.96991422236395175</v>
          </cell>
        </row>
        <row r="258">
          <cell r="L258">
            <v>-0.24285074568850035</v>
          </cell>
          <cell r="M258">
            <v>-0.97402114050239919</v>
          </cell>
        </row>
        <row r="259">
          <cell r="L259">
            <v>-0.22574934690040549</v>
          </cell>
          <cell r="M259">
            <v>-0.97782784973450987</v>
          </cell>
        </row>
        <row r="260">
          <cell r="L260">
            <v>-0.2085888614077511</v>
          </cell>
          <cell r="M260">
            <v>-0.98133343788073191</v>
          </cell>
        </row>
        <row r="261">
          <cell r="L261">
            <v>-0.19137462357117185</v>
          </cell>
          <cell r="M261">
            <v>-0.98453708824787955</v>
          </cell>
        </row>
        <row r="262">
          <cell r="L262">
            <v>-0.17411197520606148</v>
          </cell>
          <cell r="M262">
            <v>-0.98743807956386587</v>
          </cell>
        </row>
        <row r="263">
          <cell r="L263">
            <v>-0.1568062638478343</v>
          </cell>
          <cell r="M263">
            <v>-0.99003578587979713</v>
          </cell>
        </row>
        <row r="264">
          <cell r="L264">
            <v>-0.13946284102681319</v>
          </cell>
          <cell r="M264">
            <v>-0.99232967643986603</v>
          </cell>
        </row>
        <row r="265">
          <cell r="L265">
            <v>-0.12208706055333737</v>
          </cell>
          <cell r="M265">
            <v>-0.99431931551949382</v>
          </cell>
        </row>
        <row r="266">
          <cell r="L266">
            <v>-0.10468427681369057</v>
          </cell>
          <cell r="M266">
            <v>-0.99600436223217625</v>
          </cell>
        </row>
        <row r="267">
          <cell r="L267">
            <v>-8.7259843077406918E-2</v>
          </cell>
          <cell r="M267">
            <v>-0.99738457030550753</v>
          </cell>
        </row>
        <row r="268">
          <cell r="L268">
            <v>-6.9819109816526365E-2</v>
          </cell>
          <cell r="M268">
            <v>-0.99845978782685907</v>
          </cell>
        </row>
        <row r="269">
          <cell r="L269">
            <v>-5.2367423037320927E-2</v>
          </cell>
          <cell r="M269">
            <v>-0.9992299569591987</v>
          </cell>
        </row>
        <row r="270">
          <cell r="L270">
            <v>-3.4910122625014146E-2</v>
          </cell>
          <cell r="M270">
            <v>-0.99969511362755359</v>
          </cell>
        </row>
        <row r="271">
          <cell r="L271">
            <v>-1.7452540701995929E-2</v>
          </cell>
          <cell r="M271">
            <v>-0.99985538717661482</v>
          </cell>
        </row>
        <row r="272">
          <cell r="L272">
            <v>-1.8371915805077271E-16</v>
          </cell>
          <cell r="M272">
            <v>-0.99971100000000002</v>
          </cell>
        </row>
        <row r="273">
          <cell r="L273">
            <v>1.7442187753275724E-2</v>
          </cell>
          <cell r="M273">
            <v>-0.99926226714169009</v>
          </cell>
        </row>
        <row r="274">
          <cell r="L274">
            <v>3.4868723432680451E-2</v>
          </cell>
          <cell r="M274">
            <v>-0.99850959587016297</v>
          </cell>
        </row>
        <row r="275">
          <cell r="L275">
            <v>5.2274322098811853E-2</v>
          </cell>
          <cell r="M275">
            <v>-0.99745348522575827</v>
          </cell>
        </row>
        <row r="276">
          <cell r="L276">
            <v>6.9653714565521579E-2</v>
          </cell>
          <cell r="M276">
            <v>-0.99609452554179967</v>
          </cell>
        </row>
        <row r="277">
          <cell r="L277">
            <v>8.7001648951315236E-2</v>
          </cell>
          <cell r="M277">
            <v>-0.99443339794001795</v>
          </cell>
        </row>
        <row r="278">
          <cell r="L278">
            <v>0.10431289221429184</v>
          </cell>
          <cell r="M278">
            <v>-0.99247087380081478</v>
          </cell>
        </row>
        <row r="279">
          <cell r="L279">
            <v>0.12158223167026602</v>
          </cell>
          <cell r="M279">
            <v>-0.99020781420890891</v>
          </cell>
        </row>
        <row r="280">
          <cell r="L280">
            <v>0.1388044764937349</v>
          </cell>
          <cell r="M280">
            <v>-0.98764516937491165</v>
          </cell>
        </row>
        <row r="281">
          <cell r="L281">
            <v>0.15597445920138722</v>
          </cell>
          <cell r="M281">
            <v>-0.98478397803338058</v>
          </cell>
        </row>
        <row r="282">
          <cell r="L282">
            <v>0.17308703711783846</v>
          </cell>
          <cell r="M282">
            <v>-0.98162536681789514</v>
          </cell>
        </row>
        <row r="283">
          <cell r="L283">
            <v>0.19013709382332511</v>
          </cell>
          <cell r="M283">
            <v>-0.97817054961370931</v>
          </cell>
        </row>
        <row r="284">
          <cell r="L284">
            <v>0.20711954058308465</v>
          </cell>
          <cell r="M284">
            <v>-0.97442082688852416</v>
          </cell>
        </row>
        <row r="285">
          <cell r="L285">
            <v>0.22402931775818763</v>
          </cell>
          <cell r="M285">
            <v>-0.97037758500192905</v>
          </cell>
        </row>
        <row r="286">
          <cell r="L286">
            <v>0.24086139619757588</v>
          </cell>
          <cell r="M286">
            <v>-0.96604229549406151</v>
          </cell>
        </row>
        <row r="287">
          <cell r="L287">
            <v>0.25761077861110554</v>
          </cell>
          <cell r="M287">
            <v>-0.96141651435402553</v>
          </cell>
        </row>
        <row r="288">
          <cell r="L288">
            <v>0.274272500923395</v>
          </cell>
          <cell r="M288">
            <v>-0.95650188126861591</v>
          </cell>
        </row>
        <row r="289">
          <cell r="L289">
            <v>0.29084163360829102</v>
          </cell>
          <cell r="M289">
            <v>-0.95130011885188381</v>
          </cell>
        </row>
        <row r="290">
          <cell r="L290">
            <v>0.30731328300380223</v>
          </cell>
          <cell r="M290">
            <v>-0.94581303185608234</v>
          </cell>
        </row>
        <row r="291">
          <cell r="L291">
            <v>0.3236825926073319</v>
          </cell>
          <cell r="M291">
            <v>-0.94004250636452635</v>
          </cell>
        </row>
        <row r="292">
          <cell r="L292">
            <v>0.33994474435108979</v>
          </cell>
          <cell r="M292">
            <v>-0.93399050896689273</v>
          </cell>
        </row>
        <row r="293">
          <cell r="L293">
            <v>0.35609495985755313</v>
          </cell>
          <cell r="M293">
            <v>-0.92765908591748958</v>
          </cell>
        </row>
        <row r="294">
          <cell r="L294">
            <v>0.37212850167488309</v>
          </cell>
          <cell r="M294">
            <v>-0.92105036227700732</v>
          </cell>
        </row>
        <row r="295">
          <cell r="L295">
            <v>0.38804067449219082</v>
          </cell>
          <cell r="M295">
            <v>-0.91416654103827333</v>
          </cell>
        </row>
        <row r="296">
          <cell r="L296">
            <v>0.403826826334587</v>
          </cell>
          <cell r="M296">
            <v>-0.90700990223651512</v>
          </cell>
        </row>
        <row r="297">
          <cell r="L297">
            <v>0.41948234973794496</v>
          </cell>
          <cell r="M297">
            <v>-0.89958280204463359</v>
          </cell>
        </row>
        <row r="298">
          <cell r="L298">
            <v>0.43500268290332417</v>
          </cell>
          <cell r="M298">
            <v>-0.89188767185398599</v>
          </cell>
        </row>
        <row r="299">
          <cell r="L299">
            <v>0.4503833108310269</v>
          </cell>
          <cell r="M299">
            <v>-0.88392701734116541</v>
          </cell>
        </row>
        <row r="300">
          <cell r="L300">
            <v>0.46561976643424324</v>
          </cell>
          <cell r="M300">
            <v>-0.8757034175212598</v>
          </cell>
        </row>
        <row r="301">
          <cell r="L301">
            <v>0.48070763163228625</v>
          </cell>
          <cell r="M301">
            <v>-0.86721952378806788</v>
          </cell>
        </row>
        <row r="302">
          <cell r="L302">
            <v>0.49564253842340122</v>
          </cell>
          <cell r="M302">
            <v>-0.85847805894174012</v>
          </cell>
        </row>
        <row r="303">
          <cell r="L303">
            <v>0.51042016993717021</v>
          </cell>
          <cell r="M303">
            <v>-0.84948181620429719</v>
          </cell>
        </row>
        <row r="304">
          <cell r="L304">
            <v>0.52503626146651572</v>
          </cell>
          <cell r="M304">
            <v>-0.84023365822349094</v>
          </cell>
        </row>
        <row r="305">
          <cell r="L305">
            <v>0.53948660147934213</v>
          </cell>
          <cell r="M305">
            <v>-0.8307365160654403</v>
          </cell>
        </row>
        <row r="306">
          <cell r="L306">
            <v>0.55376703260984883</v>
          </cell>
          <cell r="M306">
            <v>-0.82099338819648338</v>
          </cell>
        </row>
        <row r="307">
          <cell r="L307">
            <v>0.5678734526295609</v>
          </cell>
          <cell r="M307">
            <v>-0.81100733945467007</v>
          </cell>
        </row>
        <row r="308">
          <cell r="L308">
            <v>0.58180181539814413</v>
          </cell>
          <cell r="M308">
            <v>-0.80078150001131332</v>
          </cell>
        </row>
        <row r="309">
          <cell r="L309">
            <v>0.59554813179405253</v>
          </cell>
          <cell r="M309">
            <v>-0.79031906432300747</v>
          </cell>
        </row>
        <row r="310">
          <cell r="L310">
            <v>0.60910847062509665</v>
          </cell>
          <cell r="M310">
            <v>-0.7796232900745157</v>
          </cell>
        </row>
        <row r="311">
          <cell r="L311">
            <v>0.62247895951900256</v>
          </cell>
          <cell r="M311">
            <v>-0.76869749711291346</v>
          </cell>
        </row>
        <row r="312">
          <cell r="L312">
            <v>0.63565578579406212</v>
          </cell>
          <cell r="M312">
            <v>-0.75754506637336927</v>
          </cell>
        </row>
        <row r="313">
          <cell r="L313">
            <v>0.64863519730995278</v>
          </cell>
          <cell r="M313">
            <v>-0.7461694387969362</v>
          </cell>
        </row>
        <row r="314">
          <cell r="L314">
            <v>0.66141350329884319</v>
          </cell>
          <cell r="M314">
            <v>-0.73457411424071573</v>
          </cell>
        </row>
        <row r="315">
          <cell r="L315">
            <v>0.67398707517688328</v>
          </cell>
          <cell r="M315">
            <v>-0.72276265038074283</v>
          </cell>
        </row>
        <row r="316">
          <cell r="L316">
            <v>0.6863523473361931</v>
          </cell>
          <cell r="M316">
            <v>-0.71073866160794208</v>
          </cell>
        </row>
        <row r="317">
          <cell r="L317">
            <v>0.69850581791747346</v>
          </cell>
          <cell r="M317">
            <v>-0.69850581791747379</v>
          </cell>
        </row>
        <row r="318">
          <cell r="L318">
            <v>0.71044404956335327</v>
          </cell>
          <cell r="M318">
            <v>-0.6860678437918114</v>
          </cell>
        </row>
        <row r="319">
          <cell r="L319">
            <v>0.72216367015260596</v>
          </cell>
          <cell r="M319">
            <v>-0.67342851707784679</v>
          </cell>
        </row>
        <row r="320">
          <cell r="L320">
            <v>0.73366137351536143</v>
          </cell>
          <cell r="M320">
            <v>-0.66059166785833956</v>
          </cell>
        </row>
        <row r="321">
          <cell r="L321">
            <v>0.74493392012945925</v>
          </cell>
          <cell r="M321">
            <v>-0.64756117731799134</v>
          </cell>
        </row>
        <row r="322">
          <cell r="L322">
            <v>0.75597813779806244</v>
          </cell>
          <cell r="M322">
            <v>-0.63434097660444166</v>
          </cell>
        </row>
        <row r="323">
          <cell r="L323">
            <v>0.76679092230869028</v>
          </cell>
          <cell r="M323">
            <v>-0.62093504568445124</v>
          </cell>
        </row>
        <row r="324">
          <cell r="L324">
            <v>0.77736923807380098</v>
          </cell>
          <cell r="M324">
            <v>-0.607347412195539</v>
          </cell>
        </row>
        <row r="325">
          <cell r="L325">
            <v>0.78771011875307306</v>
          </cell>
          <cell r="M325">
            <v>-0.59358215029333117</v>
          </cell>
        </row>
        <row r="326">
          <cell r="L326">
            <v>0.79781066785753663</v>
          </cell>
          <cell r="M326">
            <v>-0.57964337949486022</v>
          </cell>
        </row>
        <row r="327">
          <cell r="L327">
            <v>0.80766805933569219</v>
          </cell>
          <cell r="M327">
            <v>-0.56553526351805938</v>
          </cell>
        </row>
        <row r="328">
          <cell r="L328">
            <v>0.81727953814177423</v>
          </cell>
          <cell r="M328">
            <v>-0.5512620091176712</v>
          </cell>
        </row>
        <row r="329">
          <cell r="L329">
            <v>0.82664242078630124</v>
          </cell>
          <cell r="M329">
            <v>-0.53682786491779555</v>
          </cell>
        </row>
        <row r="330">
          <cell r="L330">
            <v>0.83575409586907279</v>
          </cell>
          <cell r="M330">
            <v>-0.52223712024127356</v>
          </cell>
        </row>
        <row r="331">
          <cell r="L331">
            <v>0.84461202459474782</v>
          </cell>
          <cell r="M331">
            <v>-0.5074941039361216</v>
          </cell>
        </row>
        <row r="332">
          <cell r="L332">
            <v>0.85321374127116512</v>
          </cell>
          <cell r="M332">
            <v>-0.49260318319919549</v>
          </cell>
        </row>
        <row r="333">
          <cell r="L333">
            <v>0.8615568537905467</v>
          </cell>
          <cell r="M333">
            <v>-0.4775687623972697</v>
          </cell>
        </row>
        <row r="334">
          <cell r="L334">
            <v>0.86963904409373283</v>
          </cell>
          <cell r="M334">
            <v>-0.46239528188571039</v>
          </cell>
        </row>
        <row r="335">
          <cell r="L335">
            <v>0.87745806861759734</v>
          </cell>
          <cell r="M335">
            <v>-0.44708721682489483</v>
          </cell>
        </row>
        <row r="336">
          <cell r="L336">
            <v>0.88501175872577909</v>
          </cell>
          <cell r="M336">
            <v>-0.43164907599455027</v>
          </cell>
        </row>
        <row r="337">
          <cell r="L337">
            <v>0.89229802112287848</v>
          </cell>
          <cell r="M337">
            <v>-0.41608540060614868</v>
          </cell>
        </row>
        <row r="338">
          <cell r="L338">
            <v>0.89931483825225134</v>
          </cell>
          <cell r="M338">
            <v>-0.40040076311350864</v>
          </cell>
        </row>
        <row r="339">
          <cell r="L339">
            <v>0.90606026867754486</v>
          </cell>
          <cell r="M339">
            <v>-0.38459976602172607</v>
          </cell>
        </row>
        <row r="340">
          <cell r="L340">
            <v>0.91253244744810014</v>
          </cell>
          <cell r="M340">
            <v>-0.36868704069457481</v>
          </cell>
        </row>
        <row r="341">
          <cell r="L341">
            <v>0.918729586448359</v>
          </cell>
          <cell r="M341">
            <v>-0.3526672461604865</v>
          </cell>
        </row>
        <row r="342">
          <cell r="L342">
            <v>0.92464997473139676</v>
          </cell>
          <cell r="M342">
            <v>-0.33654506791722444</v>
          </cell>
        </row>
        <row r="343">
          <cell r="L343">
            <v>0.93029197883670911</v>
          </cell>
          <cell r="M343">
            <v>-0.32032521673536385</v>
          </cell>
        </row>
        <row r="344">
          <cell r="L344">
            <v>0.93565404309236899</v>
          </cell>
          <cell r="M344">
            <v>-0.30401242746066337</v>
          </cell>
        </row>
        <row r="345">
          <cell r="L345">
            <v>0.94073468990167153</v>
          </cell>
          <cell r="M345">
            <v>-0.28761145781544006</v>
          </cell>
        </row>
        <row r="346">
          <cell r="L346">
            <v>0.94553252001437726</v>
          </cell>
          <cell r="M346">
            <v>-0.27112708719902012</v>
          </cell>
        </row>
        <row r="347">
          <cell r="L347">
            <v>0.95004621278265766</v>
          </cell>
          <cell r="M347">
            <v>-0.25456411548735958</v>
          </cell>
        </row>
        <row r="348">
          <cell r="L348">
            <v>0.95427452640185273</v>
          </cell>
          <cell r="M348">
            <v>-0.23792736183189619</v>
          </cell>
        </row>
        <row r="349">
          <cell r="L349">
            <v>0.95821629813612841</v>
          </cell>
          <cell r="M349">
            <v>-0.2212216634577216</v>
          </cell>
        </row>
        <row r="350">
          <cell r="L350">
            <v>0.96187044452913362</v>
          </cell>
          <cell r="M350">
            <v>-0.20445187446112892</v>
          </cell>
        </row>
        <row r="351">
          <cell r="L351">
            <v>0.96523596159973934</v>
          </cell>
          <cell r="M351">
            <v>-0.18762286460660016</v>
          </cell>
        </row>
        <row r="352">
          <cell r="L352">
            <v>0.96831192502294239</v>
          </cell>
          <cell r="M352">
            <v>-0.17073951812329699</v>
          </cell>
        </row>
        <row r="353">
          <cell r="L353">
            <v>0.97109749029601378</v>
          </cell>
          <cell r="M353">
            <v>-0.15380673250109622</v>
          </cell>
        </row>
        <row r="354">
          <cell r="L354">
            <v>0.97359189288995607</v>
          </cell>
          <cell r="M354">
            <v>-0.13682941728623615</v>
          </cell>
        </row>
        <row r="355">
          <cell r="L355">
            <v>0.97579444838633767</v>
          </cell>
          <cell r="M355">
            <v>-0.11981249287660821</v>
          </cell>
        </row>
        <row r="356">
          <cell r="L356">
            <v>0.97770455259956612</v>
          </cell>
          <cell r="M356">
            <v>-0.10276088931674771</v>
          </cell>
        </row>
        <row r="357">
          <cell r="L357">
            <v>0.97932168168464784</v>
          </cell>
          <cell r="M357">
            <v>-8.5679545092550352E-2</v>
          </cell>
        </row>
        <row r="358">
          <cell r="L358">
            <v>0.98064539223048386</v>
          </cell>
          <cell r="M358">
            <v>-6.857340592577138E-2</v>
          </cell>
        </row>
        <row r="359">
          <cell r="L359">
            <v>0.98167532133874424</v>
          </cell>
          <cell r="M359">
            <v>-5.1447423568329986E-2</v>
          </cell>
        </row>
        <row r="360">
          <cell r="L360">
            <v>0.98241118668835337</v>
          </cell>
          <cell r="M360">
            <v>-3.4306554596458184E-2</v>
          </cell>
        </row>
        <row r="361">
          <cell r="L361">
            <v>0.98285278658561481</v>
          </cell>
          <cell r="M361">
            <v>-1.7155759204731533E-2</v>
          </cell>
        </row>
        <row r="362">
          <cell r="L362">
            <v>0.9830000000000001</v>
          </cell>
          <cell r="M362">
            <v>-2.4086418623503474E-16</v>
          </cell>
        </row>
      </sheetData>
      <sheetData sheetId="3">
        <row r="2">
          <cell r="E2">
            <v>0.38700000000000001</v>
          </cell>
          <cell r="F2">
            <v>0.20599999999999999</v>
          </cell>
          <cell r="AB2" t="str">
            <v>Mercury ☿</v>
          </cell>
        </row>
        <row r="3">
          <cell r="E3">
            <v>0.72299999999999998</v>
          </cell>
          <cell r="F3">
            <v>7.0000000000000001E-3</v>
          </cell>
          <cell r="AB3" t="str">
            <v>Venus ♀</v>
          </cell>
        </row>
        <row r="4">
          <cell r="E4">
            <v>0.72399999999999998</v>
          </cell>
          <cell r="F4">
            <v>0.61199999999999999</v>
          </cell>
        </row>
        <row r="5">
          <cell r="E5">
            <v>0.92300000000000004</v>
          </cell>
          <cell r="F5">
            <v>0.191</v>
          </cell>
        </row>
        <row r="6">
          <cell r="E6">
            <v>1</v>
          </cell>
          <cell r="F6">
            <v>0.191</v>
          </cell>
        </row>
        <row r="7">
          <cell r="E7">
            <v>1</v>
          </cell>
          <cell r="F7">
            <v>1.7000000000000001E-2</v>
          </cell>
          <cell r="AB7" t="str">
            <v>Earth ⊕</v>
          </cell>
        </row>
        <row r="8">
          <cell r="F8">
            <v>5.5E-2</v>
          </cell>
        </row>
        <row r="9">
          <cell r="E9">
            <v>1.0009999999999999</v>
          </cell>
          <cell r="F9">
            <v>0.38700000000000001</v>
          </cell>
        </row>
        <row r="10">
          <cell r="E10">
            <v>1.1259999999999999</v>
          </cell>
          <cell r="F10">
            <v>0.20399999999999999</v>
          </cell>
        </row>
        <row r="11">
          <cell r="E11">
            <v>1.19</v>
          </cell>
          <cell r="F11">
            <v>0.19</v>
          </cell>
        </row>
        <row r="12">
          <cell r="E12">
            <v>1.2709999999999999</v>
          </cell>
          <cell r="F12">
            <v>0.89</v>
          </cell>
        </row>
        <row r="13">
          <cell r="E13">
            <v>1.3240000000000001</v>
          </cell>
          <cell r="F13">
            <v>0.28000000000000003</v>
          </cell>
        </row>
        <row r="14">
          <cell r="E14">
            <v>1.458</v>
          </cell>
          <cell r="F14">
            <v>0.223</v>
          </cell>
        </row>
        <row r="15">
          <cell r="E15">
            <v>1.524</v>
          </cell>
          <cell r="F15">
            <v>6.5000000000000002E-2</v>
          </cell>
        </row>
        <row r="17">
          <cell r="E17">
            <v>1.524</v>
          </cell>
          <cell r="F17">
            <v>9.2999999999999999E-2</v>
          </cell>
          <cell r="AB17" t="str">
            <v>Mars ♂</v>
          </cell>
        </row>
        <row r="18">
          <cell r="F18">
            <v>1.4999999999999999E-2</v>
          </cell>
        </row>
        <row r="19">
          <cell r="F19">
            <v>0</v>
          </cell>
        </row>
        <row r="20">
          <cell r="E20">
            <v>1.524</v>
          </cell>
          <cell r="F20">
            <v>0.54</v>
          </cell>
        </row>
        <row r="21">
          <cell r="E21">
            <v>1.524</v>
          </cell>
          <cell r="F21">
            <v>3.5000000000000003E-2</v>
          </cell>
        </row>
        <row r="22">
          <cell r="E22">
            <v>1.524</v>
          </cell>
          <cell r="F22">
            <v>0.1</v>
          </cell>
        </row>
        <row r="23">
          <cell r="E23">
            <v>1.524</v>
          </cell>
          <cell r="F23">
            <v>3.9E-2</v>
          </cell>
        </row>
        <row r="24">
          <cell r="E24">
            <v>1.6439999999999999</v>
          </cell>
          <cell r="F24">
            <v>0.38400000000000001</v>
          </cell>
        </row>
        <row r="25">
          <cell r="F25">
            <v>2.5000000000000001E-2</v>
          </cell>
        </row>
        <row r="26">
          <cell r="E26">
            <v>2.2000000000000002</v>
          </cell>
          <cell r="F26">
            <v>0.157</v>
          </cell>
        </row>
        <row r="27">
          <cell r="E27">
            <v>2.21</v>
          </cell>
          <cell r="F27">
            <v>0.17299999999999999</v>
          </cell>
        </row>
        <row r="28">
          <cell r="E28">
            <v>2.2679999999999998</v>
          </cell>
          <cell r="F28">
            <v>4.5999999999999999E-2</v>
          </cell>
        </row>
        <row r="29">
          <cell r="E29">
            <v>2.2949999999999999</v>
          </cell>
          <cell r="F29">
            <v>0.218</v>
          </cell>
        </row>
        <row r="30">
          <cell r="E30">
            <v>2.2970000000000002</v>
          </cell>
          <cell r="F30">
            <v>0.23200000000000001</v>
          </cell>
        </row>
        <row r="31">
          <cell r="E31">
            <v>2.33</v>
          </cell>
          <cell r="F31">
            <v>0.22</v>
          </cell>
        </row>
        <row r="32">
          <cell r="E32">
            <v>2.36</v>
          </cell>
          <cell r="F32">
            <v>8.8999999999999996E-2</v>
          </cell>
          <cell r="AB32" t="str">
            <v>Vesta ⚶</v>
          </cell>
        </row>
        <row r="33">
          <cell r="E33">
            <v>2.3650000000000002</v>
          </cell>
          <cell r="F33">
            <v>6.6000000000000003E-2</v>
          </cell>
        </row>
        <row r="34">
          <cell r="E34">
            <v>2.367</v>
          </cell>
          <cell r="F34">
            <v>0.126</v>
          </cell>
        </row>
        <row r="35">
          <cell r="E35">
            <v>2.3820000000000001</v>
          </cell>
          <cell r="F35">
            <v>6.0999999999999999E-2</v>
          </cell>
        </row>
        <row r="36">
          <cell r="E36">
            <v>2.387</v>
          </cell>
          <cell r="F36">
            <v>0.23</v>
          </cell>
        </row>
        <row r="37">
          <cell r="E37">
            <v>2.387</v>
          </cell>
          <cell r="F37">
            <v>0.123</v>
          </cell>
        </row>
        <row r="38">
          <cell r="E38">
            <v>2.395</v>
          </cell>
          <cell r="F38">
            <v>0.127</v>
          </cell>
        </row>
        <row r="39">
          <cell r="E39">
            <v>2.403</v>
          </cell>
          <cell r="F39">
            <v>0.246</v>
          </cell>
        </row>
        <row r="40">
          <cell r="E40">
            <v>2.4089999999999998</v>
          </cell>
          <cell r="F40">
            <v>0.14199999999999999</v>
          </cell>
        </row>
        <row r="41">
          <cell r="E41">
            <v>2.4300000000000002</v>
          </cell>
          <cell r="F41">
            <v>0.20300000000000001</v>
          </cell>
        </row>
        <row r="42">
          <cell r="E42">
            <v>2.4319999999999999</v>
          </cell>
          <cell r="F42">
            <v>8.2000000000000003E-2</v>
          </cell>
        </row>
        <row r="43">
          <cell r="E43">
            <v>2.4350000000000001</v>
          </cell>
          <cell r="F43">
            <v>0.16300000000000001</v>
          </cell>
        </row>
        <row r="44">
          <cell r="E44">
            <v>2.4409999999999998</v>
          </cell>
          <cell r="F44">
            <v>0.159</v>
          </cell>
        </row>
        <row r="45">
          <cell r="E45">
            <v>2.4420000000000002</v>
          </cell>
          <cell r="F45">
            <v>0.223</v>
          </cell>
        </row>
        <row r="46">
          <cell r="E46">
            <v>2.4529999999999998</v>
          </cell>
          <cell r="F46">
            <v>9.9000000000000005E-2</v>
          </cell>
        </row>
        <row r="47">
          <cell r="E47">
            <v>2.5259999999999998</v>
          </cell>
          <cell r="F47">
            <v>0.17199999999999999</v>
          </cell>
        </row>
        <row r="48">
          <cell r="E48">
            <v>2.532</v>
          </cell>
          <cell r="F48">
            <v>0.629</v>
          </cell>
        </row>
        <row r="49">
          <cell r="E49">
            <v>2.5499999999999998</v>
          </cell>
          <cell r="F49">
            <v>0.184</v>
          </cell>
        </row>
        <row r="50">
          <cell r="E50">
            <v>2.552</v>
          </cell>
          <cell r="F50">
            <v>0.151</v>
          </cell>
        </row>
        <row r="51">
          <cell r="E51">
            <v>2.5539999999999998</v>
          </cell>
          <cell r="F51">
            <v>7.3999999999999996E-2</v>
          </cell>
        </row>
        <row r="52">
          <cell r="E52">
            <v>2.5630000000000002</v>
          </cell>
          <cell r="F52">
            <v>0.11700000000000001</v>
          </cell>
        </row>
        <row r="53">
          <cell r="E53">
            <v>2.5739999999999998</v>
          </cell>
          <cell r="F53">
            <v>0.191</v>
          </cell>
        </row>
        <row r="54">
          <cell r="E54">
            <v>2.5739999999999998</v>
          </cell>
          <cell r="F54">
            <v>0.187</v>
          </cell>
        </row>
        <row r="55">
          <cell r="E55">
            <v>2.5750000000000002</v>
          </cell>
          <cell r="F55">
            <v>7.2999999999999995E-2</v>
          </cell>
        </row>
        <row r="56">
          <cell r="E56">
            <v>2.5779999999999998</v>
          </cell>
          <cell r="F56">
            <v>8.5000000000000006E-2</v>
          </cell>
        </row>
        <row r="57">
          <cell r="E57">
            <v>2.585</v>
          </cell>
          <cell r="F57">
            <v>0.16800000000000001</v>
          </cell>
        </row>
        <row r="58">
          <cell r="E58">
            <v>2.5859999999999999</v>
          </cell>
          <cell r="F58">
            <v>0.24299999999999999</v>
          </cell>
        </row>
        <row r="59">
          <cell r="E59">
            <v>2.5910000000000002</v>
          </cell>
          <cell r="F59">
            <v>0.105</v>
          </cell>
        </row>
        <row r="60">
          <cell r="E60">
            <v>2.593</v>
          </cell>
          <cell r="F60">
            <v>0.10299999999999999</v>
          </cell>
        </row>
        <row r="61">
          <cell r="E61">
            <v>2.5950000000000002</v>
          </cell>
          <cell r="F61">
            <v>0.23799999999999999</v>
          </cell>
        </row>
        <row r="62">
          <cell r="E62">
            <v>2.5979999999999999</v>
          </cell>
          <cell r="F62">
            <v>0.313</v>
          </cell>
        </row>
        <row r="63">
          <cell r="E63">
            <v>2.5979999999999999</v>
          </cell>
          <cell r="F63">
            <v>0.251</v>
          </cell>
        </row>
        <row r="64">
          <cell r="E64">
            <v>2.6150000000000002</v>
          </cell>
          <cell r="F64">
            <v>0.182</v>
          </cell>
        </row>
        <row r="65">
          <cell r="E65">
            <v>2.6160000000000001</v>
          </cell>
          <cell r="F65">
            <v>0.23799999999999999</v>
          </cell>
        </row>
        <row r="66">
          <cell r="E66">
            <v>2.62</v>
          </cell>
          <cell r="F66">
            <v>0.20699999999999999</v>
          </cell>
        </row>
        <row r="67">
          <cell r="E67">
            <v>2.6280000000000001</v>
          </cell>
          <cell r="F67">
            <v>0.23300000000000001</v>
          </cell>
        </row>
        <row r="68">
          <cell r="E68">
            <v>2.6339999999999999</v>
          </cell>
          <cell r="F68">
            <v>0.34599999999999997</v>
          </cell>
        </row>
        <row r="69">
          <cell r="E69">
            <v>2.6429999999999998</v>
          </cell>
          <cell r="F69">
            <v>0.17599999999999999</v>
          </cell>
        </row>
        <row r="70">
          <cell r="E70">
            <v>2.6440000000000001</v>
          </cell>
          <cell r="F70">
            <v>0.186</v>
          </cell>
        </row>
        <row r="71">
          <cell r="E71">
            <v>2.6480000000000001</v>
          </cell>
          <cell r="F71">
            <v>0.26500000000000001</v>
          </cell>
        </row>
        <row r="72">
          <cell r="E72">
            <v>2.6509999999999998</v>
          </cell>
          <cell r="F72">
            <v>7.2999999999999995E-2</v>
          </cell>
        </row>
        <row r="73">
          <cell r="E73">
            <v>2.653</v>
          </cell>
          <cell r="F73">
            <v>0.19400000000000001</v>
          </cell>
        </row>
        <row r="74">
          <cell r="E74">
            <v>2.657</v>
          </cell>
          <cell r="F74">
            <v>0.23400000000000001</v>
          </cell>
        </row>
        <row r="75">
          <cell r="E75">
            <v>2.66</v>
          </cell>
          <cell r="F75">
            <v>0.1</v>
          </cell>
        </row>
        <row r="76">
          <cell r="E76">
            <v>2.6629999999999998</v>
          </cell>
          <cell r="F76">
            <v>0.53400000000000003</v>
          </cell>
        </row>
        <row r="77">
          <cell r="E77">
            <v>2.665</v>
          </cell>
          <cell r="F77">
            <v>0.215</v>
          </cell>
        </row>
        <row r="78">
          <cell r="E78">
            <v>2.67</v>
          </cell>
          <cell r="F78">
            <v>0.25600000000000001</v>
          </cell>
          <cell r="AB78" t="str">
            <v>Juno ⚵</v>
          </cell>
        </row>
        <row r="79">
          <cell r="E79">
            <v>2.6720000000000002</v>
          </cell>
          <cell r="F79">
            <v>0.255</v>
          </cell>
        </row>
        <row r="80">
          <cell r="E80">
            <v>2.6739999999999999</v>
          </cell>
          <cell r="F80">
            <v>0.14399999999999999</v>
          </cell>
        </row>
        <row r="81">
          <cell r="E81">
            <v>2.6819999999999999</v>
          </cell>
          <cell r="F81">
            <v>0.34</v>
          </cell>
        </row>
        <row r="82">
          <cell r="E82">
            <v>2.6829999999999998</v>
          </cell>
          <cell r="F82">
            <v>0.246</v>
          </cell>
        </row>
        <row r="83">
          <cell r="E83">
            <v>2.6869999999999998</v>
          </cell>
          <cell r="F83">
            <v>0.105</v>
          </cell>
        </row>
        <row r="84">
          <cell r="E84">
            <v>2.6880000000000002</v>
          </cell>
          <cell r="F84">
            <v>0.186</v>
          </cell>
        </row>
        <row r="85">
          <cell r="E85">
            <v>2.7010000000000001</v>
          </cell>
          <cell r="F85">
            <v>4.2999999999999997E-2</v>
          </cell>
        </row>
        <row r="86">
          <cell r="E86">
            <v>2.7120000000000002</v>
          </cell>
          <cell r="F86">
            <v>0.19600000000000001</v>
          </cell>
        </row>
        <row r="87">
          <cell r="E87">
            <v>2.7149999999999999</v>
          </cell>
          <cell r="F87">
            <v>0.11700000000000001</v>
          </cell>
        </row>
        <row r="88">
          <cell r="E88">
            <v>2.718</v>
          </cell>
          <cell r="F88">
            <v>6.7000000000000004E-2</v>
          </cell>
        </row>
        <row r="89">
          <cell r="E89">
            <v>2.72</v>
          </cell>
          <cell r="F89">
            <v>8.2000000000000003E-2</v>
          </cell>
        </row>
        <row r="91">
          <cell r="F91">
            <v>0.01</v>
          </cell>
        </row>
        <row r="92">
          <cell r="E92">
            <v>2.7240000000000002</v>
          </cell>
          <cell r="F92">
            <v>0.24199999999999999</v>
          </cell>
        </row>
        <row r="93">
          <cell r="E93">
            <v>2.7269999999999999</v>
          </cell>
          <cell r="F93">
            <v>0.22700000000000001</v>
          </cell>
        </row>
        <row r="94">
          <cell r="E94">
            <v>2.7280000000000002</v>
          </cell>
          <cell r="F94">
            <v>0.24099999999999999</v>
          </cell>
        </row>
        <row r="95">
          <cell r="E95">
            <v>2.7330000000000001</v>
          </cell>
          <cell r="F95">
            <v>0.216</v>
          </cell>
        </row>
        <row r="96">
          <cell r="E96">
            <v>2.7370000000000001</v>
          </cell>
          <cell r="F96">
            <v>5.8999999999999997E-2</v>
          </cell>
        </row>
        <row r="97">
          <cell r="E97">
            <v>2.7370000000000001</v>
          </cell>
          <cell r="F97">
            <v>0.14299999999999999</v>
          </cell>
        </row>
        <row r="98">
          <cell r="E98">
            <v>2.7370000000000001</v>
          </cell>
          <cell r="F98">
            <v>0.28599999999999998</v>
          </cell>
        </row>
        <row r="99">
          <cell r="E99">
            <v>2.7370000000000001</v>
          </cell>
          <cell r="F99">
            <v>0.13300000000000001</v>
          </cell>
        </row>
        <row r="100">
          <cell r="E100">
            <v>2.738</v>
          </cell>
          <cell r="F100">
            <v>0.129</v>
          </cell>
        </row>
        <row r="101">
          <cell r="E101">
            <v>2.74</v>
          </cell>
          <cell r="F101">
            <v>0.28299999999999997</v>
          </cell>
        </row>
        <row r="102">
          <cell r="E102">
            <v>2.7410000000000001</v>
          </cell>
          <cell r="F102">
            <v>3.6999999999999998E-2</v>
          </cell>
        </row>
        <row r="103">
          <cell r="E103">
            <v>2.7410000000000001</v>
          </cell>
          <cell r="F103">
            <v>0.23499999999999999</v>
          </cell>
        </row>
        <row r="104">
          <cell r="E104">
            <v>2.742</v>
          </cell>
          <cell r="F104">
            <v>0.156</v>
          </cell>
        </row>
        <row r="105">
          <cell r="E105">
            <v>2.7429999999999999</v>
          </cell>
          <cell r="F105">
            <v>0.20899999999999999</v>
          </cell>
        </row>
        <row r="106">
          <cell r="E106">
            <v>2.7429999999999999</v>
          </cell>
          <cell r="F106">
            <v>0.24299999999999999</v>
          </cell>
        </row>
        <row r="107">
          <cell r="E107">
            <v>2.7469999999999999</v>
          </cell>
          <cell r="F107">
            <v>0.30299999999999999</v>
          </cell>
        </row>
        <row r="108">
          <cell r="E108">
            <v>2.75</v>
          </cell>
          <cell r="F108">
            <v>0.127</v>
          </cell>
        </row>
        <row r="109">
          <cell r="E109">
            <v>2.75</v>
          </cell>
          <cell r="F109">
            <v>0.04</v>
          </cell>
        </row>
        <row r="110">
          <cell r="E110">
            <v>2.7570000000000001</v>
          </cell>
          <cell r="F110">
            <v>0.14000000000000001</v>
          </cell>
        </row>
        <row r="113">
          <cell r="E113">
            <v>2.758</v>
          </cell>
          <cell r="F113">
            <v>0.23699999999999999</v>
          </cell>
        </row>
        <row r="114">
          <cell r="E114">
            <v>2.76</v>
          </cell>
          <cell r="F114">
            <v>6.7000000000000004E-2</v>
          </cell>
        </row>
        <row r="115">
          <cell r="E115">
            <v>2.7650000000000001</v>
          </cell>
          <cell r="F115">
            <v>0.27200000000000002</v>
          </cell>
        </row>
        <row r="117">
          <cell r="E117">
            <v>2.7679999999999998</v>
          </cell>
          <cell r="F117">
            <v>0.16500000000000001</v>
          </cell>
        </row>
        <row r="118">
          <cell r="E118">
            <v>2.7690000000000001</v>
          </cell>
          <cell r="F118">
            <v>0.114</v>
          </cell>
        </row>
        <row r="119">
          <cell r="E119">
            <v>2.77</v>
          </cell>
          <cell r="F119">
            <v>7.9000000000000001E-2</v>
          </cell>
          <cell r="AB119" t="str">
            <v>Ceres ⚳</v>
          </cell>
        </row>
        <row r="120">
          <cell r="E120">
            <v>2.77</v>
          </cell>
          <cell r="F120">
            <v>0.23100000000000001</v>
          </cell>
          <cell r="AB120" t="str">
            <v>Pallas ⚴</v>
          </cell>
        </row>
        <row r="121">
          <cell r="E121">
            <v>2.77</v>
          </cell>
          <cell r="F121">
            <v>0.17599999999999999</v>
          </cell>
        </row>
        <row r="122">
          <cell r="E122">
            <v>2.77</v>
          </cell>
          <cell r="F122">
            <v>0.16300000000000001</v>
          </cell>
        </row>
        <row r="123">
          <cell r="E123">
            <v>2.7730000000000001</v>
          </cell>
          <cell r="F123">
            <v>0.17599999999999999</v>
          </cell>
        </row>
        <row r="124">
          <cell r="E124">
            <v>2.774</v>
          </cell>
          <cell r="F124">
            <v>0.108</v>
          </cell>
        </row>
        <row r="125">
          <cell r="E125">
            <v>2.7770000000000001</v>
          </cell>
          <cell r="F125">
            <v>0.33200000000000002</v>
          </cell>
        </row>
        <row r="126">
          <cell r="E126">
            <v>2.7770000000000001</v>
          </cell>
          <cell r="F126">
            <v>0.151</v>
          </cell>
        </row>
        <row r="127">
          <cell r="E127">
            <v>2.778</v>
          </cell>
          <cell r="F127">
            <v>0.24</v>
          </cell>
        </row>
        <row r="128">
          <cell r="E128">
            <v>2.7810000000000001</v>
          </cell>
          <cell r="F128">
            <v>0.17599999999999999</v>
          </cell>
        </row>
        <row r="129">
          <cell r="E129">
            <v>2.7810000000000001</v>
          </cell>
          <cell r="F129">
            <v>0.187</v>
          </cell>
        </row>
        <row r="130">
          <cell r="E130">
            <v>2.794</v>
          </cell>
          <cell r="F130">
            <v>0.251</v>
          </cell>
        </row>
        <row r="133">
          <cell r="E133">
            <v>2.798</v>
          </cell>
          <cell r="F133">
            <v>0.115</v>
          </cell>
        </row>
        <row r="134">
          <cell r="E134">
            <v>2.8039999999999998</v>
          </cell>
          <cell r="F134">
            <v>0.156</v>
          </cell>
        </row>
        <row r="135">
          <cell r="E135">
            <v>2.8380000000000001</v>
          </cell>
          <cell r="F135">
            <v>0.14000000000000001</v>
          </cell>
        </row>
        <row r="136">
          <cell r="E136">
            <v>2.855</v>
          </cell>
          <cell r="F136">
            <v>0.21099999999999999</v>
          </cell>
        </row>
        <row r="137">
          <cell r="E137">
            <v>2.8610000000000002</v>
          </cell>
          <cell r="F137">
            <v>4.1000000000000002E-2</v>
          </cell>
        </row>
        <row r="139">
          <cell r="E139">
            <v>2.87</v>
          </cell>
          <cell r="F139">
            <v>0.21199999999999999</v>
          </cell>
        </row>
        <row r="140">
          <cell r="E140">
            <v>2.8780000000000001</v>
          </cell>
          <cell r="F140">
            <v>0.13500000000000001</v>
          </cell>
        </row>
        <row r="141">
          <cell r="E141">
            <v>2.8879999999999999</v>
          </cell>
          <cell r="F141">
            <v>0.23200000000000001</v>
          </cell>
        </row>
        <row r="142">
          <cell r="E142">
            <v>2.8889999999999998</v>
          </cell>
          <cell r="F142">
            <v>0.104</v>
          </cell>
        </row>
        <row r="143">
          <cell r="E143">
            <v>2.8959999999999999</v>
          </cell>
          <cell r="F143">
            <v>0.17100000000000001</v>
          </cell>
        </row>
        <row r="144">
          <cell r="E144">
            <v>2.9079999999999999</v>
          </cell>
          <cell r="F144">
            <v>8.7999999999999995E-2</v>
          </cell>
        </row>
        <row r="145">
          <cell r="E145">
            <v>2.911</v>
          </cell>
          <cell r="F145">
            <v>0.10199999999999999</v>
          </cell>
        </row>
        <row r="146">
          <cell r="F146">
            <v>5.0000000000000001E-3</v>
          </cell>
        </row>
        <row r="147">
          <cell r="E147">
            <v>2.92</v>
          </cell>
          <cell r="F147">
            <v>0.13400000000000001</v>
          </cell>
        </row>
        <row r="148">
          <cell r="E148">
            <v>2.9220000000000002</v>
          </cell>
          <cell r="F148">
            <v>4.8000000000000001E-2</v>
          </cell>
        </row>
        <row r="149">
          <cell r="E149">
            <v>2.9239999999999999</v>
          </cell>
          <cell r="F149">
            <v>9.1999999999999998E-2</v>
          </cell>
        </row>
        <row r="150">
          <cell r="E150">
            <v>2.9279999999999999</v>
          </cell>
          <cell r="F150">
            <v>0.16400000000000001</v>
          </cell>
        </row>
        <row r="151">
          <cell r="E151">
            <v>2.93</v>
          </cell>
          <cell r="F151">
            <v>0.16500000000000001</v>
          </cell>
        </row>
        <row r="152">
          <cell r="E152">
            <v>2.9820000000000002</v>
          </cell>
          <cell r="F152">
            <v>0.16500000000000001</v>
          </cell>
        </row>
        <row r="153">
          <cell r="E153">
            <v>2.984</v>
          </cell>
          <cell r="F153">
            <v>0.13100000000000001</v>
          </cell>
        </row>
        <row r="154">
          <cell r="E154">
            <v>2.9860000000000002</v>
          </cell>
          <cell r="F154">
            <v>6.4000000000000001E-2</v>
          </cell>
        </row>
        <row r="155">
          <cell r="E155">
            <v>2.99</v>
          </cell>
          <cell r="F155">
            <v>0.22800000000000001</v>
          </cell>
        </row>
        <row r="156">
          <cell r="E156">
            <v>2.992</v>
          </cell>
          <cell r="F156">
            <v>2.8000000000000001E-2</v>
          </cell>
        </row>
        <row r="157">
          <cell r="E157">
            <v>3.0009999999999999</v>
          </cell>
          <cell r="F157">
            <v>9.1999999999999998E-2</v>
          </cell>
        </row>
        <row r="158">
          <cell r="E158">
            <v>3.0009999999999999</v>
          </cell>
          <cell r="F158">
            <v>0.34</v>
          </cell>
        </row>
        <row r="159">
          <cell r="E159">
            <v>3.0030000000000001</v>
          </cell>
          <cell r="F159">
            <v>0.17799999999999999</v>
          </cell>
        </row>
        <row r="160">
          <cell r="E160">
            <v>3.0049999999999999</v>
          </cell>
          <cell r="F160">
            <v>6.5000000000000002E-2</v>
          </cell>
        </row>
        <row r="161">
          <cell r="E161">
            <v>3.0390000000000001</v>
          </cell>
          <cell r="F161">
            <v>0.14799999999999999</v>
          </cell>
        </row>
        <row r="162">
          <cell r="E162">
            <v>3.0419999999999998</v>
          </cell>
          <cell r="F162">
            <v>0.161</v>
          </cell>
        </row>
        <row r="163">
          <cell r="E163">
            <v>3.0459999999999998</v>
          </cell>
          <cell r="F163">
            <v>4.1000000000000002E-2</v>
          </cell>
        </row>
        <row r="164">
          <cell r="E164">
            <v>3.0470000000000002</v>
          </cell>
          <cell r="F164">
            <v>0.14799999999999999</v>
          </cell>
        </row>
        <row r="165">
          <cell r="F165">
            <v>0.12</v>
          </cell>
        </row>
        <row r="166">
          <cell r="E166">
            <v>3.0489999999999999</v>
          </cell>
          <cell r="F166">
            <v>0.10199999999999999</v>
          </cell>
        </row>
        <row r="167">
          <cell r="E167">
            <v>3.052</v>
          </cell>
          <cell r="F167">
            <v>0.14000000000000001</v>
          </cell>
        </row>
        <row r="168">
          <cell r="E168">
            <v>3.056</v>
          </cell>
          <cell r="F168">
            <v>0.14899999999999999</v>
          </cell>
        </row>
        <row r="169">
          <cell r="E169">
            <v>3.0619999999999998</v>
          </cell>
          <cell r="F169">
            <v>7.5999999999999998E-2</v>
          </cell>
        </row>
        <row r="170">
          <cell r="E170">
            <v>3.0649999999999999</v>
          </cell>
          <cell r="F170">
            <v>0.153</v>
          </cell>
        </row>
        <row r="171">
          <cell r="E171">
            <v>3.0680000000000001</v>
          </cell>
          <cell r="F171">
            <v>3.7999999999999999E-2</v>
          </cell>
        </row>
        <row r="172">
          <cell r="E172">
            <v>3.069</v>
          </cell>
          <cell r="F172">
            <v>0.14599999999999999</v>
          </cell>
        </row>
        <row r="173">
          <cell r="E173">
            <v>3.0840000000000001</v>
          </cell>
          <cell r="F173">
            <v>0.25</v>
          </cell>
        </row>
        <row r="174">
          <cell r="E174">
            <v>3.0920000000000001</v>
          </cell>
          <cell r="F174">
            <v>0.13700000000000001</v>
          </cell>
        </row>
        <row r="175">
          <cell r="E175">
            <v>3.0950000000000002</v>
          </cell>
          <cell r="F175">
            <v>0.10199999999999999</v>
          </cell>
        </row>
        <row r="176">
          <cell r="E176">
            <v>3.101</v>
          </cell>
          <cell r="F176">
            <v>0.22500000000000001</v>
          </cell>
        </row>
        <row r="177">
          <cell r="E177">
            <v>3.1030000000000002</v>
          </cell>
          <cell r="F177">
            <v>0.108</v>
          </cell>
        </row>
        <row r="178">
          <cell r="E178">
            <v>3.109</v>
          </cell>
          <cell r="F178">
            <v>0.159</v>
          </cell>
        </row>
        <row r="179">
          <cell r="E179">
            <v>3.11</v>
          </cell>
          <cell r="F179">
            <v>7.4999999999999997E-2</v>
          </cell>
        </row>
        <row r="180">
          <cell r="E180">
            <v>3.1110000000000002</v>
          </cell>
          <cell r="F180">
            <v>0.106</v>
          </cell>
        </row>
        <row r="181">
          <cell r="E181">
            <v>3.1139999999999999</v>
          </cell>
          <cell r="F181">
            <v>0.20799999999999999</v>
          </cell>
        </row>
        <row r="182">
          <cell r="E182">
            <v>3.1139999999999999</v>
          </cell>
          <cell r="F182">
            <v>9.7000000000000003E-2</v>
          </cell>
        </row>
        <row r="183">
          <cell r="E183">
            <v>3.1160000000000001</v>
          </cell>
          <cell r="F183">
            <v>0.105</v>
          </cell>
        </row>
        <row r="184">
          <cell r="E184">
            <v>3.1179999999999999</v>
          </cell>
          <cell r="F184">
            <v>5.2999999999999999E-2</v>
          </cell>
        </row>
        <row r="185">
          <cell r="E185">
            <v>3.1179999999999999</v>
          </cell>
          <cell r="F185">
            <v>1.7999999999999999E-2</v>
          </cell>
        </row>
        <row r="186">
          <cell r="E186">
            <v>3.1179999999999999</v>
          </cell>
          <cell r="F186">
            <v>7.2999999999999995E-2</v>
          </cell>
        </row>
        <row r="187">
          <cell r="E187">
            <v>3.1219999999999999</v>
          </cell>
          <cell r="F187">
            <v>0.193</v>
          </cell>
        </row>
        <row r="188">
          <cell r="E188">
            <v>3.1219999999999999</v>
          </cell>
          <cell r="F188">
            <v>0.17799999999999999</v>
          </cell>
        </row>
        <row r="189">
          <cell r="E189">
            <v>3.1230000000000002</v>
          </cell>
          <cell r="F189">
            <v>6.2E-2</v>
          </cell>
        </row>
        <row r="190">
          <cell r="E190">
            <v>3.1240000000000001</v>
          </cell>
          <cell r="F190">
            <v>0.107</v>
          </cell>
        </row>
        <row r="191">
          <cell r="E191">
            <v>3.1240000000000001</v>
          </cell>
          <cell r="F191">
            <v>0.221</v>
          </cell>
        </row>
        <row r="192">
          <cell r="E192">
            <v>3.125</v>
          </cell>
          <cell r="F192">
            <v>8.3000000000000004E-2</v>
          </cell>
        </row>
        <row r="193">
          <cell r="E193">
            <v>3.1259999999999999</v>
          </cell>
          <cell r="F193">
            <v>0.13300000000000001</v>
          </cell>
        </row>
        <row r="194">
          <cell r="E194">
            <v>3.1269999999999998</v>
          </cell>
          <cell r="F194">
            <v>0.20899999999999999</v>
          </cell>
        </row>
        <row r="195">
          <cell r="F195">
            <v>0.33</v>
          </cell>
        </row>
        <row r="196">
          <cell r="F196">
            <v>0.03</v>
          </cell>
        </row>
        <row r="197">
          <cell r="F197">
            <v>8.4000000000000005E-2</v>
          </cell>
        </row>
        <row r="198">
          <cell r="E198">
            <v>3.129</v>
          </cell>
          <cell r="F198">
            <v>0.27200000000000002</v>
          </cell>
        </row>
        <row r="199">
          <cell r="E199">
            <v>3.13</v>
          </cell>
          <cell r="F199">
            <v>0.20399999999999999</v>
          </cell>
        </row>
        <row r="200">
          <cell r="E200">
            <v>3.133</v>
          </cell>
          <cell r="F200">
            <v>0.13300000000000001</v>
          </cell>
        </row>
        <row r="201">
          <cell r="E201">
            <v>3.1349999999999998</v>
          </cell>
          <cell r="F201">
            <v>0.128</v>
          </cell>
        </row>
        <row r="202">
          <cell r="E202">
            <v>3.1349999999999998</v>
          </cell>
          <cell r="F202">
            <v>2.8000000000000001E-2</v>
          </cell>
        </row>
        <row r="203">
          <cell r="E203">
            <v>3.1419999999999999</v>
          </cell>
          <cell r="F203">
            <v>0.11899999999999999</v>
          </cell>
          <cell r="AB203" t="str">
            <v>Hygiea ⚕</v>
          </cell>
        </row>
        <row r="204">
          <cell r="E204">
            <v>3.1429999999999998</v>
          </cell>
          <cell r="F204">
            <v>0.13200000000000001</v>
          </cell>
        </row>
        <row r="205">
          <cell r="E205">
            <v>3.145</v>
          </cell>
          <cell r="F205">
            <v>0.182</v>
          </cell>
        </row>
        <row r="206">
          <cell r="E206">
            <v>3.145</v>
          </cell>
          <cell r="F206">
            <v>0.17</v>
          </cell>
        </row>
        <row r="207">
          <cell r="E207">
            <v>3.149</v>
          </cell>
          <cell r="F207">
            <v>0.11799999999999999</v>
          </cell>
        </row>
        <row r="208">
          <cell r="E208">
            <v>3.149</v>
          </cell>
          <cell r="F208">
            <v>0.246</v>
          </cell>
        </row>
        <row r="209">
          <cell r="E209">
            <v>3.149</v>
          </cell>
          <cell r="F209">
            <v>0.13200000000000001</v>
          </cell>
        </row>
        <row r="210">
          <cell r="E210">
            <v>3.15</v>
          </cell>
          <cell r="F210">
            <v>5.8000000000000003E-2</v>
          </cell>
        </row>
        <row r="211">
          <cell r="E211">
            <v>3.1509999999999998</v>
          </cell>
          <cell r="F211">
            <v>4.4999999999999998E-2</v>
          </cell>
        </row>
        <row r="212">
          <cell r="E212">
            <v>3.1509999999999998</v>
          </cell>
          <cell r="F212">
            <v>0.26</v>
          </cell>
        </row>
        <row r="213">
          <cell r="E213">
            <v>3.153</v>
          </cell>
          <cell r="F213">
            <v>0.158</v>
          </cell>
        </row>
        <row r="214">
          <cell r="E214">
            <v>3.1549999999999998</v>
          </cell>
          <cell r="F214">
            <v>0.221</v>
          </cell>
        </row>
        <row r="215">
          <cell r="F215">
            <v>4.2999999999999997E-2</v>
          </cell>
        </row>
        <row r="216">
          <cell r="E216">
            <v>3.1549999999999998</v>
          </cell>
          <cell r="F216">
            <v>0.10299999999999999</v>
          </cell>
        </row>
        <row r="218">
          <cell r="E218">
            <v>3.1560000000000001</v>
          </cell>
          <cell r="F218">
            <v>0.31</v>
          </cell>
        </row>
        <row r="219">
          <cell r="E219">
            <v>3.1560000000000001</v>
          </cell>
          <cell r="F219">
            <v>7.3999999999999996E-2</v>
          </cell>
        </row>
        <row r="220">
          <cell r="E220">
            <v>3.1579999999999999</v>
          </cell>
          <cell r="F220">
            <v>0.18</v>
          </cell>
        </row>
        <row r="221">
          <cell r="E221">
            <v>3.16</v>
          </cell>
          <cell r="F221">
            <v>9.1999999999999998E-2</v>
          </cell>
        </row>
        <row r="222">
          <cell r="E222">
            <v>3.161</v>
          </cell>
          <cell r="F222">
            <v>8.0000000000000002E-3</v>
          </cell>
        </row>
        <row r="223">
          <cell r="E223">
            <v>3.1629999999999998</v>
          </cell>
          <cell r="F223">
            <v>0.185</v>
          </cell>
        </row>
        <row r="224">
          <cell r="E224">
            <v>3.1640000000000001</v>
          </cell>
          <cell r="F224">
            <v>0.191</v>
          </cell>
        </row>
        <row r="225">
          <cell r="E225">
            <v>3.169</v>
          </cell>
          <cell r="F225">
            <v>0.159</v>
          </cell>
        </row>
        <row r="226">
          <cell r="E226">
            <v>3.1720000000000002</v>
          </cell>
          <cell r="F226">
            <v>9.5000000000000001E-2</v>
          </cell>
        </row>
        <row r="227">
          <cell r="E227">
            <v>3.1749999999999998</v>
          </cell>
          <cell r="F227">
            <v>0.16700000000000001</v>
          </cell>
        </row>
        <row r="228">
          <cell r="E228">
            <v>3.177</v>
          </cell>
          <cell r="F228">
            <v>0.16</v>
          </cell>
        </row>
        <row r="229">
          <cell r="E229">
            <v>3.181</v>
          </cell>
          <cell r="F229">
            <v>0.159</v>
          </cell>
        </row>
        <row r="230">
          <cell r="E230">
            <v>3.1880000000000002</v>
          </cell>
          <cell r="F230">
            <v>0.104</v>
          </cell>
        </row>
        <row r="231">
          <cell r="E231">
            <v>3.1880000000000002</v>
          </cell>
          <cell r="F231">
            <v>0.16800000000000001</v>
          </cell>
        </row>
        <row r="232">
          <cell r="E232">
            <v>3.1890000000000001</v>
          </cell>
          <cell r="F232">
            <v>7.2999999999999995E-2</v>
          </cell>
        </row>
        <row r="233">
          <cell r="E233">
            <v>3.1949999999999998</v>
          </cell>
          <cell r="F233">
            <v>1.7999999999999999E-2</v>
          </cell>
        </row>
        <row r="235">
          <cell r="E235">
            <v>3.2</v>
          </cell>
          <cell r="F235">
            <v>7.6999999999999999E-2</v>
          </cell>
        </row>
        <row r="236">
          <cell r="E236">
            <v>3.2010000000000001</v>
          </cell>
          <cell r="F236">
            <v>0.16900000000000001</v>
          </cell>
        </row>
        <row r="237">
          <cell r="E237">
            <v>3.202</v>
          </cell>
          <cell r="F237">
            <v>0.14599999999999999</v>
          </cell>
        </row>
        <row r="238">
          <cell r="E238">
            <v>3.2229999999999999</v>
          </cell>
          <cell r="F238">
            <v>0.09</v>
          </cell>
        </row>
        <row r="239">
          <cell r="E239">
            <v>3.3820000000000001</v>
          </cell>
          <cell r="F239">
            <v>7.0999999999999994E-2</v>
          </cell>
        </row>
        <row r="240">
          <cell r="E240">
            <v>3.3860000000000001</v>
          </cell>
          <cell r="F240">
            <v>0.11700000000000001</v>
          </cell>
        </row>
        <row r="241">
          <cell r="E241">
            <v>3.4119999999999999</v>
          </cell>
          <cell r="F241">
            <v>0.151</v>
          </cell>
        </row>
        <row r="242">
          <cell r="E242">
            <v>3.4159999999999999</v>
          </cell>
          <cell r="F242">
            <v>3.1E-2</v>
          </cell>
        </row>
        <row r="243">
          <cell r="E243">
            <v>3.4180000000000001</v>
          </cell>
          <cell r="F243">
            <v>0.16300000000000001</v>
          </cell>
        </row>
        <row r="244">
          <cell r="E244">
            <v>3.4220000000000002</v>
          </cell>
          <cell r="F244">
            <v>0.13900000000000001</v>
          </cell>
        </row>
        <row r="245">
          <cell r="E245">
            <v>3.4279999999999999</v>
          </cell>
          <cell r="F245">
            <v>0.111</v>
          </cell>
        </row>
        <row r="246">
          <cell r="E246">
            <v>3.444</v>
          </cell>
          <cell r="F246">
            <v>0.115</v>
          </cell>
        </row>
        <row r="247">
          <cell r="E247">
            <v>3.448</v>
          </cell>
          <cell r="F247">
            <v>0.13300000000000001</v>
          </cell>
        </row>
        <row r="248">
          <cell r="F248">
            <v>1E-3</v>
          </cell>
        </row>
        <row r="249">
          <cell r="E249">
            <v>3.48</v>
          </cell>
          <cell r="F249">
            <v>0.08</v>
          </cell>
        </row>
        <row r="252">
          <cell r="E252">
            <v>3.4910000000000001</v>
          </cell>
          <cell r="F252">
            <v>6.6000000000000003E-2</v>
          </cell>
        </row>
        <row r="253">
          <cell r="E253">
            <v>3.4980000000000002</v>
          </cell>
          <cell r="F253">
            <v>8.5999999999999993E-2</v>
          </cell>
        </row>
        <row r="254">
          <cell r="E254">
            <v>3.5430000000000001</v>
          </cell>
          <cell r="F254">
            <v>9.0999999999999998E-2</v>
          </cell>
        </row>
        <row r="255">
          <cell r="E255">
            <v>3.633</v>
          </cell>
          <cell r="F255">
            <v>8.4000000000000005E-2</v>
          </cell>
        </row>
        <row r="256">
          <cell r="E256">
            <v>3.895</v>
          </cell>
          <cell r="F256">
            <v>2.1999999999999999E-2</v>
          </cell>
        </row>
        <row r="257">
          <cell r="E257">
            <v>3.9020000000000001</v>
          </cell>
          <cell r="F257">
            <v>0.1</v>
          </cell>
        </row>
        <row r="258">
          <cell r="E258">
            <v>3.9470000000000001</v>
          </cell>
          <cell r="F258">
            <v>0.188</v>
          </cell>
        </row>
        <row r="259">
          <cell r="E259">
            <v>3.96</v>
          </cell>
          <cell r="F259">
            <v>0.214</v>
          </cell>
        </row>
        <row r="260">
          <cell r="E260">
            <v>3.9780000000000002</v>
          </cell>
          <cell r="F260">
            <v>0.14000000000000001</v>
          </cell>
        </row>
        <row r="261">
          <cell r="E261">
            <v>3.9860000000000002</v>
          </cell>
          <cell r="F261">
            <v>0.16600000000000001</v>
          </cell>
        </row>
        <row r="262">
          <cell r="E262">
            <v>4.3490000000000002</v>
          </cell>
          <cell r="F262">
            <v>2.5999999999999999E-2</v>
          </cell>
        </row>
        <row r="263">
          <cell r="E263">
            <v>5.1280000000000001</v>
          </cell>
          <cell r="F263">
            <v>4.3999999999999997E-2</v>
          </cell>
        </row>
        <row r="264">
          <cell r="E264">
            <v>5.13</v>
          </cell>
          <cell r="F264">
            <v>5.1999999999999998E-2</v>
          </cell>
        </row>
        <row r="265">
          <cell r="E265">
            <v>5.1379999999999999</v>
          </cell>
          <cell r="F265">
            <v>6.9000000000000006E-2</v>
          </cell>
        </row>
        <row r="266">
          <cell r="E266">
            <v>5.17</v>
          </cell>
          <cell r="F266">
            <v>0.11799999999999999</v>
          </cell>
        </row>
        <row r="267">
          <cell r="E267">
            <v>5.18</v>
          </cell>
          <cell r="F267">
            <v>9.7000000000000003E-2</v>
          </cell>
        </row>
        <row r="269">
          <cell r="E269">
            <v>5.1820000000000004</v>
          </cell>
          <cell r="F269">
            <v>0.122</v>
          </cell>
        </row>
        <row r="270">
          <cell r="E270">
            <v>5.1820000000000004</v>
          </cell>
          <cell r="F270">
            <v>6.7000000000000004E-2</v>
          </cell>
        </row>
        <row r="271">
          <cell r="E271">
            <v>5.1980000000000004</v>
          </cell>
          <cell r="F271">
            <v>4.3999999999999997E-2</v>
          </cell>
        </row>
        <row r="272">
          <cell r="E272">
            <v>5.2039999999999997</v>
          </cell>
          <cell r="F272">
            <v>4.9000000000000002E-2</v>
          </cell>
          <cell r="AB272" t="str">
            <v>Jupiter ♃</v>
          </cell>
        </row>
        <row r="273">
          <cell r="F273">
            <v>0</v>
          </cell>
        </row>
        <row r="274">
          <cell r="F274">
            <v>2E-3</v>
          </cell>
        </row>
        <row r="275">
          <cell r="F275">
            <v>3.0000000000000001E-3</v>
          </cell>
        </row>
        <row r="276">
          <cell r="F276">
            <v>1.7999999999999999E-2</v>
          </cell>
        </row>
        <row r="277">
          <cell r="F277">
            <v>4.0000000000000001E-3</v>
          </cell>
        </row>
        <row r="278">
          <cell r="F278">
            <v>8.9999999999999993E-3</v>
          </cell>
        </row>
        <row r="279">
          <cell r="F279">
            <v>1E-3</v>
          </cell>
        </row>
        <row r="280">
          <cell r="F280">
            <v>7.0000000000000001E-3</v>
          </cell>
        </row>
        <row r="281">
          <cell r="F281">
            <v>0.252</v>
          </cell>
        </row>
        <row r="282">
          <cell r="F282">
            <v>0.16500000000000001</v>
          </cell>
        </row>
        <row r="283">
          <cell r="F283">
            <v>0.154</v>
          </cell>
        </row>
        <row r="284">
          <cell r="F284">
            <v>0.11600000000000001</v>
          </cell>
        </row>
        <row r="285">
          <cell r="F285">
            <v>0.11799999999999999</v>
          </cell>
        </row>
        <row r="286">
          <cell r="F286">
            <v>0.17899999999999999</v>
          </cell>
        </row>
        <row r="287">
          <cell r="F287">
            <v>0.14799999999999999</v>
          </cell>
        </row>
        <row r="288">
          <cell r="F288">
            <v>0.19600000000000001</v>
          </cell>
        </row>
        <row r="289">
          <cell r="F289">
            <v>0.17599999999999999</v>
          </cell>
        </row>
        <row r="290">
          <cell r="F290">
            <v>0.21099999999999999</v>
          </cell>
        </row>
        <row r="291">
          <cell r="F291">
            <v>0.17699999999999999</v>
          </cell>
        </row>
        <row r="292">
          <cell r="F292">
            <v>0.41599999999999998</v>
          </cell>
        </row>
        <row r="293">
          <cell r="F293">
            <v>0.20200000000000001</v>
          </cell>
        </row>
        <row r="294">
          <cell r="F294">
            <v>0.14399999999999999</v>
          </cell>
        </row>
        <row r="295">
          <cell r="F295">
            <v>5.0999999999999997E-2</v>
          </cell>
        </row>
        <row r="296">
          <cell r="F296">
            <v>0.307</v>
          </cell>
        </row>
        <row r="297">
          <cell r="F297">
            <v>0.33300000000000002</v>
          </cell>
        </row>
        <row r="298">
          <cell r="F298">
            <v>0.21299999999999999</v>
          </cell>
        </row>
        <row r="299">
          <cell r="F299">
            <v>0.27800000000000002</v>
          </cell>
        </row>
        <row r="300">
          <cell r="F300">
            <v>0.215</v>
          </cell>
        </row>
        <row r="301">
          <cell r="F301">
            <v>0.14099999999999999</v>
          </cell>
        </row>
        <row r="302">
          <cell r="F302">
            <v>0.19800000000000001</v>
          </cell>
        </row>
        <row r="303">
          <cell r="F303">
            <v>0.246</v>
          </cell>
        </row>
        <row r="304">
          <cell r="F304">
            <v>0.14799999999999999</v>
          </cell>
        </row>
        <row r="305">
          <cell r="F305">
            <v>0.23200000000000001</v>
          </cell>
        </row>
        <row r="306">
          <cell r="F306">
            <v>0.22900000000000001</v>
          </cell>
        </row>
        <row r="307">
          <cell r="F307">
            <v>0.17499999999999999</v>
          </cell>
        </row>
        <row r="308">
          <cell r="F308">
            <v>0.22700000000000001</v>
          </cell>
        </row>
        <row r="309">
          <cell r="F309">
            <v>0.34100000000000003</v>
          </cell>
        </row>
        <row r="310">
          <cell r="F310">
            <v>0.23</v>
          </cell>
        </row>
        <row r="311">
          <cell r="F311">
            <v>0.221</v>
          </cell>
        </row>
        <row r="312">
          <cell r="F312">
            <v>0.48399999999999999</v>
          </cell>
        </row>
        <row r="313">
          <cell r="F313">
            <v>0.253</v>
          </cell>
        </row>
        <row r="314">
          <cell r="F314">
            <v>0.16</v>
          </cell>
        </row>
        <row r="315">
          <cell r="F315">
            <v>0.156</v>
          </cell>
        </row>
        <row r="316">
          <cell r="F316">
            <v>0.32900000000000001</v>
          </cell>
        </row>
        <row r="317">
          <cell r="F317">
            <v>0.22900000000000001</v>
          </cell>
        </row>
        <row r="318">
          <cell r="F318">
            <v>0.35599999999999998</v>
          </cell>
        </row>
        <row r="319">
          <cell r="F319">
            <v>0.36599999999999999</v>
          </cell>
        </row>
        <row r="320">
          <cell r="F320">
            <v>0.497</v>
          </cell>
        </row>
        <row r="321">
          <cell r="F321">
            <v>0.23599999999999999</v>
          </cell>
        </row>
        <row r="322">
          <cell r="F322">
            <v>0.20499999999999999</v>
          </cell>
        </row>
        <row r="323">
          <cell r="F323">
            <v>0.55700000000000005</v>
          </cell>
        </row>
        <row r="324">
          <cell r="F324">
            <v>0.23300000000000001</v>
          </cell>
        </row>
        <row r="325">
          <cell r="F325">
            <v>0.249</v>
          </cell>
        </row>
        <row r="326">
          <cell r="F326">
            <v>0.23</v>
          </cell>
        </row>
        <row r="327">
          <cell r="F327">
            <v>0.25700000000000001</v>
          </cell>
        </row>
        <row r="328">
          <cell r="F328">
            <v>0.19400000000000001</v>
          </cell>
        </row>
        <row r="329">
          <cell r="F329">
            <v>0.27300000000000002</v>
          </cell>
        </row>
        <row r="330">
          <cell r="F330">
            <v>0.2</v>
          </cell>
        </row>
        <row r="331">
          <cell r="F331">
            <v>0.153</v>
          </cell>
        </row>
        <row r="332">
          <cell r="F332">
            <v>0.25900000000000001</v>
          </cell>
        </row>
        <row r="333">
          <cell r="F333">
            <v>0.159</v>
          </cell>
        </row>
        <row r="334">
          <cell r="F334">
            <v>0.21</v>
          </cell>
        </row>
        <row r="335">
          <cell r="F335">
            <v>0.33400000000000002</v>
          </cell>
        </row>
        <row r="336">
          <cell r="F336">
            <v>0.25</v>
          </cell>
        </row>
        <row r="337">
          <cell r="F337">
            <v>0.2</v>
          </cell>
        </row>
        <row r="338">
          <cell r="F338">
            <v>0.61099999999999999</v>
          </cell>
        </row>
        <row r="339">
          <cell r="F339">
            <v>0.29799999999999999</v>
          </cell>
        </row>
        <row r="340">
          <cell r="F340">
            <v>0.26400000000000001</v>
          </cell>
        </row>
        <row r="341">
          <cell r="F341">
            <v>0.28399999999999997</v>
          </cell>
        </row>
        <row r="342">
          <cell r="F342">
            <v>0.312</v>
          </cell>
        </row>
        <row r="343">
          <cell r="F343">
            <v>0.23599999999999999</v>
          </cell>
        </row>
        <row r="344">
          <cell r="F344">
            <v>0.32</v>
          </cell>
        </row>
        <row r="345">
          <cell r="F345">
            <v>0.22600000000000001</v>
          </cell>
        </row>
        <row r="346">
          <cell r="F346">
            <v>0.36299999999999999</v>
          </cell>
        </row>
        <row r="347">
          <cell r="F347">
            <v>0.33200000000000002</v>
          </cell>
        </row>
        <row r="348">
          <cell r="F348">
            <v>0.312</v>
          </cell>
        </row>
        <row r="349">
          <cell r="F349">
            <v>0.28899999999999998</v>
          </cell>
        </row>
        <row r="350">
          <cell r="F350">
            <v>0.39700000000000002</v>
          </cell>
        </row>
        <row r="351">
          <cell r="F351">
            <v>0.27200000000000002</v>
          </cell>
        </row>
        <row r="352">
          <cell r="F352">
            <v>0.19900000000000001</v>
          </cell>
        </row>
        <row r="353">
          <cell r="F353">
            <v>0.24099999999999999</v>
          </cell>
        </row>
        <row r="354">
          <cell r="F354">
            <v>0.41</v>
          </cell>
        </row>
        <row r="355">
          <cell r="F355">
            <v>0.13600000000000001</v>
          </cell>
        </row>
        <row r="356">
          <cell r="F356">
            <v>0.17699999999999999</v>
          </cell>
        </row>
        <row r="357">
          <cell r="F357">
            <v>0.32800000000000001</v>
          </cell>
        </row>
        <row r="358">
          <cell r="F358">
            <v>0.432</v>
          </cell>
        </row>
        <row r="359">
          <cell r="F359">
            <v>0.15</v>
          </cell>
        </row>
        <row r="360">
          <cell r="F360">
            <v>0.26400000000000001</v>
          </cell>
        </row>
        <row r="361">
          <cell r="F361">
            <v>0.30299999999999999</v>
          </cell>
        </row>
        <row r="362">
          <cell r="F362">
            <v>0.17</v>
          </cell>
        </row>
        <row r="363">
          <cell r="F363">
            <v>0.31900000000000001</v>
          </cell>
        </row>
        <row r="364">
          <cell r="F364">
            <v>0.33700000000000002</v>
          </cell>
        </row>
        <row r="365">
          <cell r="F365">
            <v>0.32500000000000001</v>
          </cell>
        </row>
        <row r="366">
          <cell r="F366">
            <v>0.31</v>
          </cell>
        </row>
        <row r="367">
          <cell r="F367">
            <v>0.32100000000000001</v>
          </cell>
        </row>
        <row r="368">
          <cell r="E368">
            <v>5.2060000000000004</v>
          </cell>
          <cell r="F368">
            <v>9.0999999999999998E-2</v>
          </cell>
        </row>
        <row r="369">
          <cell r="F369">
            <v>0.125</v>
          </cell>
        </row>
        <row r="370">
          <cell r="E370">
            <v>5.2089999999999996</v>
          </cell>
          <cell r="F370">
            <v>0.14000000000000001</v>
          </cell>
        </row>
        <row r="372">
          <cell r="E372">
            <v>5.2089999999999996</v>
          </cell>
          <cell r="F372">
            <v>0.14599999999999999</v>
          </cell>
        </row>
        <row r="373">
          <cell r="E373">
            <v>5.2110000000000003</v>
          </cell>
          <cell r="F373">
            <v>5.8000000000000003E-2</v>
          </cell>
        </row>
        <row r="374">
          <cell r="E374">
            <v>5.2149999999999999</v>
          </cell>
          <cell r="F374">
            <v>8.8999999999999996E-2</v>
          </cell>
        </row>
        <row r="375">
          <cell r="E375">
            <v>5.218</v>
          </cell>
          <cell r="F375">
            <v>0.104</v>
          </cell>
        </row>
        <row r="376">
          <cell r="E376">
            <v>5.2220000000000004</v>
          </cell>
          <cell r="F376">
            <v>0.127</v>
          </cell>
        </row>
        <row r="377">
          <cell r="E377">
            <v>5.2489999999999997</v>
          </cell>
          <cell r="F377">
            <v>8.8999999999999996E-2</v>
          </cell>
        </row>
        <row r="378">
          <cell r="E378">
            <v>5.2510000000000003</v>
          </cell>
          <cell r="F378">
            <v>9.0999999999999998E-2</v>
          </cell>
        </row>
        <row r="379">
          <cell r="E379">
            <v>5.2569999999999997</v>
          </cell>
          <cell r="F379">
            <v>2.4E-2</v>
          </cell>
        </row>
        <row r="380">
          <cell r="F380">
            <v>0.31</v>
          </cell>
        </row>
        <row r="381">
          <cell r="E381">
            <v>5.2770000000000001</v>
          </cell>
          <cell r="F381">
            <v>6.6000000000000003E-2</v>
          </cell>
        </row>
        <row r="382">
          <cell r="E382">
            <v>5.2960000000000003</v>
          </cell>
          <cell r="F382">
            <v>0.13700000000000001</v>
          </cell>
        </row>
        <row r="383">
          <cell r="E383">
            <v>5.3019999999999996</v>
          </cell>
          <cell r="F383">
            <v>6.6000000000000003E-2</v>
          </cell>
        </row>
        <row r="384">
          <cell r="E384">
            <v>5.3179999999999996</v>
          </cell>
          <cell r="F384">
            <v>3.7999999999999999E-2</v>
          </cell>
        </row>
        <row r="385">
          <cell r="E385">
            <v>9.5830000000000002</v>
          </cell>
          <cell r="F385">
            <v>5.7000000000000002E-2</v>
          </cell>
          <cell r="AB385" t="str">
            <v>Saturn ♄</v>
          </cell>
        </row>
        <row r="386">
          <cell r="F386">
            <v>0</v>
          </cell>
        </row>
        <row r="387">
          <cell r="F387">
            <v>0</v>
          </cell>
        </row>
        <row r="388">
          <cell r="F388">
            <v>0</v>
          </cell>
        </row>
        <row r="389">
          <cell r="F389">
            <v>1E-3</v>
          </cell>
        </row>
        <row r="390">
          <cell r="F390">
            <v>2E-3</v>
          </cell>
        </row>
        <row r="391">
          <cell r="F391">
            <v>4.0000000000000001E-3</v>
          </cell>
        </row>
        <row r="392">
          <cell r="F392">
            <v>0.01</v>
          </cell>
        </row>
        <row r="393">
          <cell r="F393">
            <v>7.0000000000000001E-3</v>
          </cell>
        </row>
        <row r="394">
          <cell r="F394">
            <v>0</v>
          </cell>
        </row>
        <row r="395">
          <cell r="F395">
            <v>0.02</v>
          </cell>
        </row>
        <row r="396">
          <cell r="F396">
            <v>2E-3</v>
          </cell>
        </row>
        <row r="397">
          <cell r="F397">
            <v>1E-3</v>
          </cell>
        </row>
        <row r="398">
          <cell r="F398">
            <v>4.0000000000000001E-3</v>
          </cell>
        </row>
        <row r="399">
          <cell r="F399">
            <v>5.0000000000000001E-3</v>
          </cell>
        </row>
        <row r="400">
          <cell r="F400">
            <v>0</v>
          </cell>
        </row>
        <row r="401">
          <cell r="F401">
            <v>1E-3</v>
          </cell>
        </row>
        <row r="402">
          <cell r="F402">
            <v>1E-3</v>
          </cell>
        </row>
        <row r="403">
          <cell r="F403">
            <v>2E-3</v>
          </cell>
        </row>
        <row r="404">
          <cell r="F404">
            <v>7.0000000000000001E-3</v>
          </cell>
        </row>
        <row r="405">
          <cell r="F405">
            <v>2E-3</v>
          </cell>
        </row>
        <row r="406">
          <cell r="F406">
            <v>1E-3</v>
          </cell>
        </row>
        <row r="407">
          <cell r="F407">
            <v>2.9000000000000001E-2</v>
          </cell>
        </row>
        <row r="408">
          <cell r="F408">
            <v>0.123</v>
          </cell>
        </row>
        <row r="409">
          <cell r="F409">
            <v>2.8000000000000001E-2</v>
          </cell>
        </row>
        <row r="410">
          <cell r="F410">
            <v>0.38600000000000001</v>
          </cell>
        </row>
        <row r="411">
          <cell r="F411">
            <v>0.623</v>
          </cell>
        </row>
        <row r="412">
          <cell r="F412">
            <v>0.373</v>
          </cell>
        </row>
        <row r="413">
          <cell r="F413">
            <v>0.26</v>
          </cell>
        </row>
        <row r="414">
          <cell r="F414">
            <v>0.372</v>
          </cell>
        </row>
        <row r="415">
          <cell r="F415">
            <v>0.36899999999999999</v>
          </cell>
        </row>
        <row r="416">
          <cell r="F416">
            <v>0.182</v>
          </cell>
        </row>
        <row r="417">
          <cell r="F417">
            <v>0.33900000000000002</v>
          </cell>
        </row>
        <row r="418">
          <cell r="F418">
            <v>0.255</v>
          </cell>
        </row>
        <row r="419">
          <cell r="F419">
            <v>0.26</v>
          </cell>
        </row>
        <row r="420">
          <cell r="F420">
            <v>0.315</v>
          </cell>
        </row>
        <row r="421">
          <cell r="F421">
            <v>0.27100000000000002</v>
          </cell>
        </row>
        <row r="422">
          <cell r="F422">
            <v>0.33700000000000002</v>
          </cell>
        </row>
        <row r="423">
          <cell r="F423">
            <v>0.35299999999999998</v>
          </cell>
        </row>
        <row r="424">
          <cell r="F424">
            <v>0.34499999999999997</v>
          </cell>
        </row>
        <row r="425">
          <cell r="F425">
            <v>0.36699999999999999</v>
          </cell>
        </row>
        <row r="426">
          <cell r="F426">
            <v>0.36499999999999999</v>
          </cell>
        </row>
        <row r="427">
          <cell r="F427">
            <v>0.373</v>
          </cell>
        </row>
        <row r="428">
          <cell r="F428">
            <v>0.26300000000000001</v>
          </cell>
        </row>
        <row r="429">
          <cell r="F429">
            <v>0.33600000000000002</v>
          </cell>
        </row>
        <row r="430">
          <cell r="F430">
            <v>0.28399999999999997</v>
          </cell>
        </row>
        <row r="431">
          <cell r="F431">
            <v>0.90900000000000003</v>
          </cell>
        </row>
        <row r="432">
          <cell r="F432">
            <v>0.156</v>
          </cell>
        </row>
        <row r="433">
          <cell r="F433">
            <v>0.14099999999999999</v>
          </cell>
        </row>
        <row r="434">
          <cell r="F434">
            <v>0.20599999999999999</v>
          </cell>
        </row>
        <row r="435">
          <cell r="F435">
            <v>0.33900000000000002</v>
          </cell>
        </row>
        <row r="436">
          <cell r="F436">
            <v>0.122</v>
          </cell>
        </row>
        <row r="437">
          <cell r="F437">
            <v>0.3</v>
          </cell>
        </row>
        <row r="438">
          <cell r="F438">
            <v>0.248</v>
          </cell>
        </row>
        <row r="439">
          <cell r="F439">
            <v>0.20399999999999999</v>
          </cell>
        </row>
        <row r="440">
          <cell r="F440">
            <v>0.38400000000000001</v>
          </cell>
        </row>
        <row r="441">
          <cell r="F441">
            <v>0.246</v>
          </cell>
        </row>
        <row r="442">
          <cell r="F442">
            <v>0.17899999999999999</v>
          </cell>
        </row>
        <row r="443">
          <cell r="F443">
            <v>0.30199999999999999</v>
          </cell>
        </row>
        <row r="444">
          <cell r="F444">
            <v>0.27</v>
          </cell>
        </row>
        <row r="445">
          <cell r="F445">
            <v>0.60099999999999998</v>
          </cell>
        </row>
        <row r="446">
          <cell r="F446">
            <v>0.11600000000000001</v>
          </cell>
        </row>
        <row r="447">
          <cell r="F447">
            <v>0.27500000000000002</v>
          </cell>
        </row>
        <row r="448">
          <cell r="F448">
            <v>0.217</v>
          </cell>
        </row>
        <row r="449">
          <cell r="F449">
            <v>0.50600000000000001</v>
          </cell>
        </row>
        <row r="450">
          <cell r="F450">
            <v>0.29099999999999998</v>
          </cell>
        </row>
        <row r="451">
          <cell r="F451">
            <v>0.29699999999999999</v>
          </cell>
        </row>
        <row r="452">
          <cell r="F452">
            <v>0.313</v>
          </cell>
        </row>
        <row r="453">
          <cell r="F453">
            <v>0.42</v>
          </cell>
        </row>
        <row r="454">
          <cell r="F454">
            <v>0.47</v>
          </cell>
        </row>
        <row r="455">
          <cell r="F455">
            <v>0.27900000000000003</v>
          </cell>
        </row>
        <row r="456">
          <cell r="F456">
            <v>0.46200000000000002</v>
          </cell>
        </row>
        <row r="457">
          <cell r="F457">
            <v>0.497</v>
          </cell>
        </row>
        <row r="458">
          <cell r="F458">
            <v>0.40500000000000003</v>
          </cell>
        </row>
        <row r="459">
          <cell r="F459">
            <v>0.27</v>
          </cell>
        </row>
        <row r="460">
          <cell r="F460">
            <v>0.49</v>
          </cell>
        </row>
        <row r="461">
          <cell r="F461">
            <v>0.48499999999999999</v>
          </cell>
        </row>
        <row r="462">
          <cell r="F462">
            <v>0.249</v>
          </cell>
        </row>
        <row r="463">
          <cell r="F463">
            <v>0.378</v>
          </cell>
        </row>
        <row r="464">
          <cell r="F464">
            <v>0.46899999999999997</v>
          </cell>
        </row>
        <row r="465">
          <cell r="F465">
            <v>0.442</v>
          </cell>
        </row>
        <row r="466">
          <cell r="F466">
            <v>0.441</v>
          </cell>
        </row>
        <row r="467">
          <cell r="F467">
            <v>0.44800000000000001</v>
          </cell>
        </row>
        <row r="468">
          <cell r="F468">
            <v>0.498</v>
          </cell>
        </row>
        <row r="469">
          <cell r="F469">
            <v>0.55800000000000005</v>
          </cell>
        </row>
        <row r="470">
          <cell r="F470">
            <v>0.24199999999999999</v>
          </cell>
        </row>
        <row r="471">
          <cell r="F471">
            <v>0.499</v>
          </cell>
        </row>
        <row r="472">
          <cell r="F472">
            <v>0.19900000000000001</v>
          </cell>
        </row>
        <row r="473">
          <cell r="F473">
            <v>0.46200000000000002</v>
          </cell>
        </row>
        <row r="474">
          <cell r="F474">
            <v>0.41799999999999998</v>
          </cell>
        </row>
        <row r="475">
          <cell r="F475">
            <v>9.1999999999999998E-2</v>
          </cell>
        </row>
        <row r="476">
          <cell r="F476">
            <v>0.17799999999999999</v>
          </cell>
        </row>
        <row r="477">
          <cell r="F477">
            <v>0.107</v>
          </cell>
        </row>
        <row r="478">
          <cell r="F478">
            <v>0.159</v>
          </cell>
        </row>
        <row r="479">
          <cell r="F479">
            <v>0.48799999999999999</v>
          </cell>
        </row>
        <row r="480">
          <cell r="F480">
            <v>7.6999999999999999E-2</v>
          </cell>
        </row>
        <row r="481">
          <cell r="F481">
            <v>0.52900000000000003</v>
          </cell>
        </row>
        <row r="482">
          <cell r="F482">
            <v>0.27600000000000002</v>
          </cell>
        </row>
        <row r="483">
          <cell r="F483">
            <v>0.18</v>
          </cell>
        </row>
        <row r="484">
          <cell r="F484">
            <v>7.1999999999999995E-2</v>
          </cell>
        </row>
        <row r="485">
          <cell r="F485">
            <v>0.152</v>
          </cell>
        </row>
        <row r="486">
          <cell r="F486">
            <v>0.108</v>
          </cell>
        </row>
        <row r="487">
          <cell r="F487">
            <v>0.40799999999999997</v>
          </cell>
        </row>
        <row r="488">
          <cell r="F488">
            <v>0.27600000000000002</v>
          </cell>
        </row>
        <row r="489">
          <cell r="F489">
            <v>0.13300000000000001</v>
          </cell>
        </row>
        <row r="490">
          <cell r="F490">
            <v>3.7999999999999999E-2</v>
          </cell>
        </row>
        <row r="491">
          <cell r="F491">
            <v>0.30099999999999999</v>
          </cell>
        </row>
        <row r="492">
          <cell r="F492">
            <v>8.4000000000000005E-2</v>
          </cell>
        </row>
        <row r="493">
          <cell r="F493">
            <v>0.26300000000000001</v>
          </cell>
        </row>
        <row r="494">
          <cell r="F494">
            <v>0.12</v>
          </cell>
        </row>
        <row r="495">
          <cell r="F495">
            <v>0.32600000000000001</v>
          </cell>
        </row>
        <row r="496">
          <cell r="F496">
            <v>0.35199999999999998</v>
          </cell>
        </row>
        <row r="497">
          <cell r="F497">
            <v>0.52800000000000002</v>
          </cell>
        </row>
        <row r="498">
          <cell r="F498">
            <v>0.495</v>
          </cell>
        </row>
        <row r="499">
          <cell r="F499">
            <v>0.49299999999999999</v>
          </cell>
        </row>
        <row r="500">
          <cell r="F500">
            <v>0.157</v>
          </cell>
        </row>
        <row r="501">
          <cell r="F501">
            <v>0.54900000000000004</v>
          </cell>
        </row>
        <row r="502">
          <cell r="F502">
            <v>0.249</v>
          </cell>
        </row>
        <row r="503">
          <cell r="F503">
            <v>0.19</v>
          </cell>
        </row>
        <row r="504">
          <cell r="F504">
            <v>0.374</v>
          </cell>
        </row>
        <row r="505">
          <cell r="F505">
            <v>0.22</v>
          </cell>
        </row>
        <row r="506">
          <cell r="F506">
            <v>0.33300000000000002</v>
          </cell>
        </row>
        <row r="507">
          <cell r="F507">
            <v>0.53600000000000003</v>
          </cell>
        </row>
        <row r="508">
          <cell r="F508">
            <v>0.27100000000000002</v>
          </cell>
        </row>
        <row r="509">
          <cell r="F509">
            <v>0.56499999999999995</v>
          </cell>
        </row>
        <row r="510">
          <cell r="F510">
            <v>0.16900000000000001</v>
          </cell>
        </row>
        <row r="511">
          <cell r="F511">
            <v>0.57699999999999996</v>
          </cell>
        </row>
        <row r="512">
          <cell r="F512">
            <v>0.30299999999999999</v>
          </cell>
        </row>
        <row r="513">
          <cell r="F513">
            <v>0.182</v>
          </cell>
        </row>
        <row r="514">
          <cell r="F514">
            <v>0.21</v>
          </cell>
        </row>
        <row r="515">
          <cell r="F515">
            <v>0.248</v>
          </cell>
        </row>
        <row r="516">
          <cell r="F516">
            <v>8.1000000000000003E-2</v>
          </cell>
        </row>
        <row r="517">
          <cell r="F517">
            <v>0.28899999999999998</v>
          </cell>
        </row>
        <row r="518">
          <cell r="F518">
            <v>0.35</v>
          </cell>
        </row>
        <row r="519">
          <cell r="F519">
            <v>0.216</v>
          </cell>
        </row>
        <row r="520">
          <cell r="F520">
            <v>0.307</v>
          </cell>
        </row>
        <row r="521">
          <cell r="F521">
            <v>0.432</v>
          </cell>
        </row>
        <row r="522">
          <cell r="F522">
            <v>0.151</v>
          </cell>
        </row>
        <row r="523">
          <cell r="F523">
            <v>0.216</v>
          </cell>
        </row>
        <row r="524">
          <cell r="F524">
            <v>0.28100000000000003</v>
          </cell>
        </row>
        <row r="525">
          <cell r="F525">
            <v>0.26200000000000001</v>
          </cell>
        </row>
        <row r="526">
          <cell r="F526">
            <v>0.14000000000000001</v>
          </cell>
        </row>
        <row r="527">
          <cell r="F527">
            <v>0.20399999999999999</v>
          </cell>
        </row>
        <row r="528">
          <cell r="F528">
            <v>0.29899999999999999</v>
          </cell>
        </row>
        <row r="529">
          <cell r="F529">
            <v>0.434</v>
          </cell>
        </row>
        <row r="530">
          <cell r="F530">
            <v>0.14199999999999999</v>
          </cell>
        </row>
        <row r="531">
          <cell r="F531">
            <v>0.14299999999999999</v>
          </cell>
        </row>
        <row r="532">
          <cell r="F532">
            <v>5.8999999999999997E-2</v>
          </cell>
        </row>
        <row r="533">
          <cell r="F533">
            <v>0.114</v>
          </cell>
        </row>
        <row r="534">
          <cell r="F534">
            <v>0.129</v>
          </cell>
        </row>
        <row r="535">
          <cell r="F535">
            <v>0.28000000000000003</v>
          </cell>
        </row>
        <row r="536">
          <cell r="F536">
            <v>0.54200000000000004</v>
          </cell>
        </row>
        <row r="537">
          <cell r="F537">
            <v>0.55100000000000005</v>
          </cell>
        </row>
        <row r="538">
          <cell r="F538">
            <v>0.375</v>
          </cell>
        </row>
        <row r="539">
          <cell r="F539">
            <v>0.14299999999999999</v>
          </cell>
        </row>
        <row r="540">
          <cell r="F540">
            <v>0.12</v>
          </cell>
        </row>
        <row r="541">
          <cell r="F541">
            <v>8.8999999999999996E-2</v>
          </cell>
        </row>
        <row r="542">
          <cell r="F542">
            <v>0.65200000000000002</v>
          </cell>
        </row>
        <row r="543">
          <cell r="F543">
            <v>0.16500000000000001</v>
          </cell>
        </row>
        <row r="544">
          <cell r="F544">
            <v>0.371</v>
          </cell>
        </row>
        <row r="545">
          <cell r="F545">
            <v>0.57499999999999996</v>
          </cell>
        </row>
        <row r="546">
          <cell r="F546">
            <v>0.215</v>
          </cell>
        </row>
        <row r="547">
          <cell r="F547">
            <v>0.30599999999999999</v>
          </cell>
        </row>
        <row r="548">
          <cell r="F548">
            <v>0.161</v>
          </cell>
        </row>
        <row r="549">
          <cell r="F549">
            <v>0.313</v>
          </cell>
        </row>
        <row r="550">
          <cell r="F550">
            <v>0.40400000000000003</v>
          </cell>
        </row>
        <row r="551">
          <cell r="F551">
            <v>2.1999999999999999E-2</v>
          </cell>
        </row>
        <row r="552">
          <cell r="F552">
            <v>0.14099999999999999</v>
          </cell>
        </row>
        <row r="553">
          <cell r="F553">
            <v>0.36</v>
          </cell>
        </row>
        <row r="554">
          <cell r="F554">
            <v>0.23200000000000001</v>
          </cell>
        </row>
        <row r="555">
          <cell r="F555">
            <v>0.311</v>
          </cell>
        </row>
        <row r="556">
          <cell r="F556">
            <v>0.46100000000000002</v>
          </cell>
        </row>
        <row r="557">
          <cell r="F557">
            <v>0.433</v>
          </cell>
        </row>
        <row r="558">
          <cell r="F558">
            <v>0.25700000000000001</v>
          </cell>
        </row>
        <row r="559">
          <cell r="F559">
            <v>0.20599999999999999</v>
          </cell>
        </row>
        <row r="560">
          <cell r="F560">
            <v>0.113</v>
          </cell>
        </row>
        <row r="561">
          <cell r="F561">
            <v>3.6999999999999998E-2</v>
          </cell>
        </row>
        <row r="562">
          <cell r="F562">
            <v>0.47</v>
          </cell>
        </row>
        <row r="563">
          <cell r="F563">
            <v>0.249</v>
          </cell>
        </row>
        <row r="564">
          <cell r="F564">
            <v>0.45700000000000002</v>
          </cell>
        </row>
        <row r="565">
          <cell r="F565">
            <v>0.23</v>
          </cell>
        </row>
        <row r="566">
          <cell r="F566">
            <v>0.51300000000000001</v>
          </cell>
        </row>
        <row r="567">
          <cell r="F567">
            <v>0.248</v>
          </cell>
        </row>
        <row r="568">
          <cell r="F568">
            <v>0.182</v>
          </cell>
        </row>
        <row r="569">
          <cell r="F569">
            <v>0.252</v>
          </cell>
        </row>
        <row r="570">
          <cell r="F570">
            <v>0.316</v>
          </cell>
        </row>
        <row r="571">
          <cell r="F571">
            <v>0.56999999999999995</v>
          </cell>
        </row>
        <row r="572">
          <cell r="F572">
            <v>0.124</v>
          </cell>
        </row>
        <row r="573">
          <cell r="F573">
            <v>0.47499999999999998</v>
          </cell>
        </row>
        <row r="574">
          <cell r="F574">
            <v>0.318</v>
          </cell>
        </row>
        <row r="575">
          <cell r="F575">
            <v>0.46600000000000003</v>
          </cell>
        </row>
        <row r="576">
          <cell r="F576">
            <v>0.06</v>
          </cell>
        </row>
        <row r="577">
          <cell r="F577">
            <v>0.34200000000000003</v>
          </cell>
        </row>
        <row r="578">
          <cell r="F578">
            <v>0.25700000000000001</v>
          </cell>
        </row>
        <row r="579">
          <cell r="F579">
            <v>0.48</v>
          </cell>
        </row>
        <row r="580">
          <cell r="F580">
            <v>0.27300000000000002</v>
          </cell>
        </row>
        <row r="581">
          <cell r="F581">
            <v>0.27900000000000003</v>
          </cell>
        </row>
        <row r="582">
          <cell r="F582">
            <v>0.58799999999999997</v>
          </cell>
        </row>
        <row r="583">
          <cell r="F583">
            <v>0.434</v>
          </cell>
        </row>
        <row r="584">
          <cell r="F584">
            <v>0.39900000000000002</v>
          </cell>
        </row>
        <row r="585">
          <cell r="F585">
            <v>0.57399999999999995</v>
          </cell>
        </row>
        <row r="586">
          <cell r="F586">
            <v>0.26200000000000001</v>
          </cell>
        </row>
        <row r="587">
          <cell r="F587">
            <v>0.66500000000000004</v>
          </cell>
        </row>
        <row r="588">
          <cell r="F588">
            <v>0.20399999999999999</v>
          </cell>
        </row>
        <row r="589">
          <cell r="F589">
            <v>2.5999999999999999E-2</v>
          </cell>
        </row>
        <row r="590">
          <cell r="F590">
            <v>0.60099999999999998</v>
          </cell>
        </row>
        <row r="591">
          <cell r="F591">
            <v>0.13300000000000001</v>
          </cell>
        </row>
        <row r="592">
          <cell r="F592">
            <v>0.11700000000000001</v>
          </cell>
        </row>
        <row r="593">
          <cell r="F593">
            <v>0.255</v>
          </cell>
        </row>
        <row r="594">
          <cell r="F594">
            <v>5.8999999999999997E-2</v>
          </cell>
        </row>
        <row r="595">
          <cell r="F595">
            <v>0.502</v>
          </cell>
        </row>
        <row r="596">
          <cell r="F596">
            <v>0.182</v>
          </cell>
        </row>
        <row r="597">
          <cell r="F597">
            <v>0.21</v>
          </cell>
        </row>
        <row r="598">
          <cell r="F598">
            <v>0.252</v>
          </cell>
        </row>
        <row r="599">
          <cell r="F599">
            <v>0.47399999999999998</v>
          </cell>
        </row>
        <row r="600">
          <cell r="F600">
            <v>0.39900000000000002</v>
          </cell>
        </row>
        <row r="601">
          <cell r="F601">
            <v>0.47799999999999998</v>
          </cell>
        </row>
        <row r="602">
          <cell r="F602">
            <v>0.374</v>
          </cell>
        </row>
        <row r="603">
          <cell r="F603">
            <v>0.35899999999999999</v>
          </cell>
        </row>
        <row r="604">
          <cell r="F604">
            <v>0.151</v>
          </cell>
        </row>
        <row r="605">
          <cell r="F605">
            <v>4.7E-2</v>
          </cell>
        </row>
        <row r="606">
          <cell r="F606">
            <v>0.45</v>
          </cell>
        </row>
        <row r="607">
          <cell r="F607">
            <v>0.42499999999999999</v>
          </cell>
        </row>
        <row r="608">
          <cell r="F608">
            <v>0.45300000000000001</v>
          </cell>
        </row>
        <row r="609">
          <cell r="F609">
            <v>0.154</v>
          </cell>
        </row>
        <row r="610">
          <cell r="F610">
            <v>0.13600000000000001</v>
          </cell>
        </row>
        <row r="611">
          <cell r="F611">
            <v>0.23799999999999999</v>
          </cell>
        </row>
        <row r="612">
          <cell r="F612">
            <v>0.26400000000000001</v>
          </cell>
        </row>
        <row r="613">
          <cell r="F613">
            <v>0.45100000000000001</v>
          </cell>
        </row>
        <row r="614">
          <cell r="F614">
            <v>0.54600000000000004</v>
          </cell>
        </row>
        <row r="615">
          <cell r="F615">
            <v>8.8999999999999996E-2</v>
          </cell>
        </row>
        <row r="616">
          <cell r="F616">
            <v>8.1000000000000003E-2</v>
          </cell>
        </row>
        <row r="617">
          <cell r="F617">
            <v>0.33600000000000002</v>
          </cell>
        </row>
        <row r="618">
          <cell r="F618">
            <v>8.5000000000000006E-2</v>
          </cell>
        </row>
        <row r="619">
          <cell r="F619">
            <v>0.55500000000000005</v>
          </cell>
        </row>
        <row r="620">
          <cell r="F620">
            <v>0.33700000000000002</v>
          </cell>
        </row>
        <row r="621">
          <cell r="F621">
            <v>0.39100000000000001</v>
          </cell>
        </row>
        <row r="622">
          <cell r="F622">
            <v>0.22500000000000001</v>
          </cell>
        </row>
        <row r="623">
          <cell r="F623">
            <v>0.372</v>
          </cell>
        </row>
        <row r="624">
          <cell r="F624">
            <v>0.187</v>
          </cell>
        </row>
        <row r="625">
          <cell r="F625">
            <v>0.50900000000000001</v>
          </cell>
        </row>
        <row r="626">
          <cell r="F626">
            <v>0.25</v>
          </cell>
        </row>
        <row r="627">
          <cell r="F627">
            <v>0.24</v>
          </cell>
        </row>
        <row r="628">
          <cell r="F628">
            <v>0.63300000000000001</v>
          </cell>
        </row>
        <row r="629">
          <cell r="F629">
            <v>0.51300000000000001</v>
          </cell>
        </row>
        <row r="630">
          <cell r="F630">
            <v>0.35399999999999998</v>
          </cell>
        </row>
        <row r="631">
          <cell r="F631">
            <v>0.66700000000000004</v>
          </cell>
        </row>
        <row r="632">
          <cell r="F632">
            <v>0.34399999999999997</v>
          </cell>
        </row>
        <row r="633">
          <cell r="F633">
            <v>0.41699999999999998</v>
          </cell>
        </row>
        <row r="634">
          <cell r="F634">
            <v>9.8000000000000004E-2</v>
          </cell>
        </row>
        <row r="635">
          <cell r="F635">
            <v>0.41199999999999998</v>
          </cell>
        </row>
        <row r="636">
          <cell r="F636">
            <v>0.57499999999999996</v>
          </cell>
        </row>
        <row r="637">
          <cell r="F637">
            <v>0.312</v>
          </cell>
        </row>
        <row r="638">
          <cell r="F638">
            <v>8.7999999999999995E-2</v>
          </cell>
        </row>
        <row r="639">
          <cell r="F639">
            <v>0.121</v>
          </cell>
        </row>
        <row r="640">
          <cell r="F640">
            <v>0.30499999999999999</v>
          </cell>
        </row>
        <row r="641">
          <cell r="F641">
            <v>0.26700000000000002</v>
          </cell>
        </row>
        <row r="642">
          <cell r="F642">
            <v>0.25700000000000001</v>
          </cell>
        </row>
        <row r="643">
          <cell r="F643">
            <v>0.33600000000000002</v>
          </cell>
        </row>
        <row r="644">
          <cell r="F644">
            <v>0.10100000000000001</v>
          </cell>
        </row>
        <row r="645">
          <cell r="F645">
            <v>0.20599999999999999</v>
          </cell>
        </row>
        <row r="646">
          <cell r="F646">
            <v>0.20100000000000001</v>
          </cell>
        </row>
        <row r="647">
          <cell r="F647">
            <v>0.23899999999999999</v>
          </cell>
        </row>
        <row r="648">
          <cell r="F648">
            <v>0.29599999999999999</v>
          </cell>
        </row>
        <row r="649">
          <cell r="F649">
            <v>0.50600000000000001</v>
          </cell>
        </row>
        <row r="650">
          <cell r="F650">
            <v>0.53100000000000003</v>
          </cell>
        </row>
        <row r="651">
          <cell r="F651">
            <v>0.59899999999999998</v>
          </cell>
        </row>
        <row r="652">
          <cell r="F652">
            <v>0.40200000000000002</v>
          </cell>
        </row>
        <row r="653">
          <cell r="F653">
            <v>0.155</v>
          </cell>
        </row>
        <row r="654">
          <cell r="F654">
            <v>0.29199999999999998</v>
          </cell>
        </row>
        <row r="655">
          <cell r="F655">
            <v>0.20300000000000001</v>
          </cell>
        </row>
        <row r="656">
          <cell r="F656">
            <v>0.27700000000000002</v>
          </cell>
        </row>
        <row r="657">
          <cell r="F657">
            <v>0.14799999999999999</v>
          </cell>
        </row>
        <row r="658">
          <cell r="F658">
            <v>0.51200000000000001</v>
          </cell>
        </row>
        <row r="659">
          <cell r="F659">
            <v>0.19900000000000001</v>
          </cell>
        </row>
        <row r="660">
          <cell r="E660">
            <v>10.64</v>
          </cell>
          <cell r="F660">
            <v>0.19800000000000001</v>
          </cell>
        </row>
        <row r="661">
          <cell r="E661">
            <v>10.68</v>
          </cell>
          <cell r="F661">
            <v>0.45500000000000002</v>
          </cell>
        </row>
        <row r="662">
          <cell r="E662">
            <v>11.811</v>
          </cell>
          <cell r="F662">
            <v>0.38</v>
          </cell>
        </row>
        <row r="663">
          <cell r="E663">
            <v>12.944000000000001</v>
          </cell>
          <cell r="F663">
            <v>0.32600000000000001</v>
          </cell>
        </row>
        <row r="664">
          <cell r="E664">
            <v>13.7</v>
          </cell>
          <cell r="F664">
            <v>0.377</v>
          </cell>
          <cell r="AB664" t="str">
            <v>Chiron ⚷</v>
          </cell>
        </row>
        <row r="665">
          <cell r="E665">
            <v>15.755000000000001</v>
          </cell>
          <cell r="F665">
            <v>0.4</v>
          </cell>
        </row>
        <row r="666">
          <cell r="E666">
            <v>15.821999999999999</v>
          </cell>
          <cell r="F666">
            <v>0.17199999999999999</v>
          </cell>
        </row>
        <row r="667">
          <cell r="E667">
            <v>15.975</v>
          </cell>
          <cell r="F667">
            <v>0.33600000000000002</v>
          </cell>
        </row>
        <row r="668">
          <cell r="E668">
            <v>16.443999999999999</v>
          </cell>
          <cell r="F668">
            <v>0.19900000000000001</v>
          </cell>
        </row>
        <row r="669">
          <cell r="E669">
            <v>17.966000000000001</v>
          </cell>
          <cell r="F669">
            <v>0.621</v>
          </cell>
        </row>
        <row r="670">
          <cell r="E670">
            <v>17.989999999999998</v>
          </cell>
          <cell r="F670">
            <v>0.45900000000000002</v>
          </cell>
        </row>
        <row r="671">
          <cell r="E671">
            <v>19.04</v>
          </cell>
          <cell r="F671">
            <v>0.17799999999999999</v>
          </cell>
        </row>
        <row r="672">
          <cell r="E672">
            <v>19.13</v>
          </cell>
          <cell r="F672">
            <v>0.27700000000000002</v>
          </cell>
        </row>
        <row r="673">
          <cell r="E673">
            <v>19.190999999999999</v>
          </cell>
          <cell r="F673">
            <v>4.7E-2</v>
          </cell>
          <cell r="AB673" t="str">
            <v>Uranus ♅</v>
          </cell>
        </row>
        <row r="674">
          <cell r="F674">
            <v>0</v>
          </cell>
        </row>
        <row r="675">
          <cell r="F675">
            <v>0.01</v>
          </cell>
        </row>
        <row r="676">
          <cell r="F676">
            <v>0</v>
          </cell>
        </row>
        <row r="677">
          <cell r="F677">
            <v>1E-3</v>
          </cell>
        </row>
        <row r="678">
          <cell r="F678">
            <v>0</v>
          </cell>
        </row>
        <row r="679">
          <cell r="F679">
            <v>0</v>
          </cell>
        </row>
        <row r="680">
          <cell r="F680">
            <v>1E-3</v>
          </cell>
        </row>
        <row r="681">
          <cell r="F681">
            <v>0</v>
          </cell>
        </row>
        <row r="682">
          <cell r="F682">
            <v>0</v>
          </cell>
        </row>
        <row r="683">
          <cell r="F683">
            <v>1E-3</v>
          </cell>
        </row>
        <row r="684">
          <cell r="F684">
            <v>0</v>
          </cell>
        </row>
        <row r="685">
          <cell r="F685">
            <v>1E-3</v>
          </cell>
        </row>
        <row r="686">
          <cell r="F686">
            <v>0</v>
          </cell>
        </row>
        <row r="687">
          <cell r="F687">
            <v>4.0000000000000001E-3</v>
          </cell>
        </row>
        <row r="688">
          <cell r="F688">
            <v>1E-3</v>
          </cell>
        </row>
        <row r="689">
          <cell r="F689">
            <v>1E-3</v>
          </cell>
        </row>
        <row r="690">
          <cell r="F690">
            <v>4.0000000000000001E-3</v>
          </cell>
        </row>
        <row r="691">
          <cell r="F691">
            <v>1E-3</v>
          </cell>
        </row>
        <row r="692">
          <cell r="F692">
            <v>1E-3</v>
          </cell>
        </row>
        <row r="693">
          <cell r="F693">
            <v>0.14599999999999999</v>
          </cell>
        </row>
        <row r="694">
          <cell r="F694">
            <v>7.6999999999999999E-2</v>
          </cell>
        </row>
        <row r="695">
          <cell r="F695">
            <v>0.23499999999999999</v>
          </cell>
        </row>
        <row r="696">
          <cell r="F696">
            <v>0.25</v>
          </cell>
        </row>
        <row r="697">
          <cell r="F697">
            <v>0.22</v>
          </cell>
        </row>
        <row r="698">
          <cell r="F698">
            <v>0.48399999999999999</v>
          </cell>
        </row>
        <row r="699">
          <cell r="F699">
            <v>0.66100000000000003</v>
          </cell>
        </row>
        <row r="700">
          <cell r="F700">
            <v>0.44500000000000001</v>
          </cell>
        </row>
        <row r="701">
          <cell r="F701">
            <v>0.59099999999999997</v>
          </cell>
        </row>
        <row r="702">
          <cell r="F702">
            <v>0.36799999999999999</v>
          </cell>
        </row>
        <row r="703">
          <cell r="E703">
            <v>19.454000000000001</v>
          </cell>
          <cell r="F703">
            <v>0.27800000000000002</v>
          </cell>
        </row>
        <row r="704">
          <cell r="E704">
            <v>20.026</v>
          </cell>
          <cell r="F704">
            <v>0.23699999999999999</v>
          </cell>
        </row>
        <row r="705">
          <cell r="E705">
            <v>20.045000000000002</v>
          </cell>
          <cell r="F705">
            <v>0.25600000000000001</v>
          </cell>
        </row>
        <row r="706">
          <cell r="E706">
            <v>20.347999999999999</v>
          </cell>
          <cell r="F706">
            <v>0.56999999999999995</v>
          </cell>
        </row>
        <row r="707">
          <cell r="E707">
            <v>20.600999999999999</v>
          </cell>
          <cell r="F707">
            <v>0.27300000000000002</v>
          </cell>
        </row>
        <row r="708">
          <cell r="E708">
            <v>21.16</v>
          </cell>
          <cell r="F708">
            <v>0.31</v>
          </cell>
        </row>
        <row r="709">
          <cell r="E709">
            <v>21.21</v>
          </cell>
          <cell r="F709">
            <v>0.29099999999999998</v>
          </cell>
        </row>
        <row r="710">
          <cell r="E710">
            <v>21.315999999999999</v>
          </cell>
          <cell r="F710">
            <v>0.38400000000000001</v>
          </cell>
        </row>
        <row r="711">
          <cell r="E711">
            <v>21.428000000000001</v>
          </cell>
          <cell r="F711">
            <v>0.313</v>
          </cell>
        </row>
        <row r="712">
          <cell r="E712">
            <v>22.448</v>
          </cell>
          <cell r="F712">
            <v>0.19700000000000001</v>
          </cell>
        </row>
        <row r="713">
          <cell r="E713">
            <v>22.518999999999998</v>
          </cell>
          <cell r="F713">
            <v>0.23499999999999999</v>
          </cell>
        </row>
        <row r="714">
          <cell r="E714">
            <v>22.946999999999999</v>
          </cell>
          <cell r="F714">
            <v>0.317</v>
          </cell>
        </row>
        <row r="715">
          <cell r="E715">
            <v>23.079000000000001</v>
          </cell>
          <cell r="F715">
            <v>0.219</v>
          </cell>
        </row>
        <row r="716">
          <cell r="E716">
            <v>23.286000000000001</v>
          </cell>
          <cell r="F716">
            <v>0.52</v>
          </cell>
        </row>
        <row r="717">
          <cell r="E717">
            <v>23.722999999999999</v>
          </cell>
          <cell r="F717">
            <v>0.34499999999999997</v>
          </cell>
        </row>
        <row r="718">
          <cell r="E718">
            <v>24.338000000000001</v>
          </cell>
          <cell r="F718">
            <v>0.19900000000000001</v>
          </cell>
        </row>
        <row r="719">
          <cell r="E719">
            <v>24.395</v>
          </cell>
          <cell r="F719">
            <v>0.311</v>
          </cell>
        </row>
        <row r="720">
          <cell r="E720">
            <v>24.638999999999999</v>
          </cell>
          <cell r="F720">
            <v>0.51900000000000002</v>
          </cell>
        </row>
        <row r="721">
          <cell r="E721">
            <v>24.661999999999999</v>
          </cell>
          <cell r="F721">
            <v>4.2000000000000003E-2</v>
          </cell>
        </row>
        <row r="722">
          <cell r="E722">
            <v>24.884</v>
          </cell>
          <cell r="F722">
            <v>0.126</v>
          </cell>
        </row>
        <row r="723">
          <cell r="E723">
            <v>25.097999999999999</v>
          </cell>
          <cell r="F723">
            <v>0.39500000000000002</v>
          </cell>
        </row>
        <row r="724">
          <cell r="E724">
            <v>25.152000000000001</v>
          </cell>
          <cell r="F724">
            <v>0.248</v>
          </cell>
        </row>
        <row r="725">
          <cell r="E725">
            <v>25.352</v>
          </cell>
          <cell r="F725">
            <v>0.16</v>
          </cell>
        </row>
        <row r="726">
          <cell r="E726">
            <v>25.978999999999999</v>
          </cell>
          <cell r="F726">
            <v>4.7E-2</v>
          </cell>
        </row>
        <row r="727">
          <cell r="E727">
            <v>26.113</v>
          </cell>
          <cell r="F727">
            <v>0.378</v>
          </cell>
        </row>
        <row r="728">
          <cell r="E728">
            <v>27.347999999999999</v>
          </cell>
          <cell r="F728">
            <v>8.7999999999999995E-2</v>
          </cell>
        </row>
        <row r="729">
          <cell r="E729">
            <v>27.745000000000001</v>
          </cell>
          <cell r="F729">
            <v>8.7999999999999995E-2</v>
          </cell>
        </row>
        <row r="730">
          <cell r="E730">
            <v>27.808</v>
          </cell>
          <cell r="F730">
            <v>0.375</v>
          </cell>
        </row>
        <row r="731">
          <cell r="E731">
            <v>28.721</v>
          </cell>
          <cell r="F731">
            <v>0.42299999999999999</v>
          </cell>
        </row>
        <row r="732">
          <cell r="E732">
            <v>28.856000000000002</v>
          </cell>
          <cell r="F732">
            <v>0.51900000000000002</v>
          </cell>
        </row>
        <row r="733">
          <cell r="E733">
            <v>29.146999999999998</v>
          </cell>
          <cell r="F733">
            <v>0.23799999999999999</v>
          </cell>
        </row>
        <row r="734">
          <cell r="E734">
            <v>29.398</v>
          </cell>
          <cell r="F734">
            <v>0.313</v>
          </cell>
        </row>
        <row r="735">
          <cell r="E735">
            <v>29.513999999999999</v>
          </cell>
          <cell r="F735">
            <v>0.432</v>
          </cell>
        </row>
        <row r="736">
          <cell r="E736">
            <v>29.925000000000001</v>
          </cell>
          <cell r="F736">
            <v>3.1E-2</v>
          </cell>
        </row>
        <row r="737">
          <cell r="E737">
            <v>29.925999999999998</v>
          </cell>
          <cell r="F737">
            <v>0.06</v>
          </cell>
        </row>
        <row r="738">
          <cell r="E738">
            <v>30.01</v>
          </cell>
          <cell r="F738">
            <v>0.11</v>
          </cell>
        </row>
        <row r="739">
          <cell r="E739">
            <v>30.027000000000001</v>
          </cell>
          <cell r="F739">
            <v>2.3E-2</v>
          </cell>
        </row>
        <row r="740">
          <cell r="E740">
            <v>30.055</v>
          </cell>
          <cell r="F740">
            <v>5.0999999999999997E-2</v>
          </cell>
        </row>
        <row r="741">
          <cell r="E741">
            <v>30.056000000000001</v>
          </cell>
          <cell r="F741">
            <v>0.08</v>
          </cell>
        </row>
        <row r="742">
          <cell r="E742">
            <v>30.059000000000001</v>
          </cell>
          <cell r="F742">
            <v>0.122</v>
          </cell>
        </row>
        <row r="743">
          <cell r="E743">
            <v>30.07</v>
          </cell>
          <cell r="F743">
            <v>8.9999999999999993E-3</v>
          </cell>
          <cell r="AB743" t="str">
            <v>Neptune ♆</v>
          </cell>
        </row>
        <row r="744">
          <cell r="F744">
            <v>5.0000000000000001E-3</v>
          </cell>
        </row>
        <row r="745">
          <cell r="F745">
            <v>2E-3</v>
          </cell>
        </row>
        <row r="746">
          <cell r="F746">
            <v>0</v>
          </cell>
        </row>
        <row r="747">
          <cell r="F747">
            <v>0</v>
          </cell>
        </row>
        <row r="748">
          <cell r="F748">
            <v>1E-3</v>
          </cell>
        </row>
        <row r="749">
          <cell r="F749">
            <v>1E-3</v>
          </cell>
        </row>
        <row r="750">
          <cell r="F750">
            <v>1E-3</v>
          </cell>
        </row>
        <row r="751">
          <cell r="F751">
            <v>0</v>
          </cell>
        </row>
        <row r="752">
          <cell r="F752">
            <v>0.749</v>
          </cell>
        </row>
        <row r="753">
          <cell r="F753">
            <v>0.26500000000000001</v>
          </cell>
        </row>
        <row r="754">
          <cell r="F754">
            <v>0.13700000000000001</v>
          </cell>
        </row>
        <row r="755">
          <cell r="F755">
            <v>0.433</v>
          </cell>
        </row>
        <row r="756">
          <cell r="F756">
            <v>0.39700000000000002</v>
          </cell>
        </row>
        <row r="757">
          <cell r="F757">
            <v>0.41399999999999998</v>
          </cell>
        </row>
        <row r="758">
          <cell r="F758">
            <v>0.45500000000000002</v>
          </cell>
        </row>
        <row r="759">
          <cell r="F759">
            <v>0.503</v>
          </cell>
        </row>
        <row r="760">
          <cell r="E760">
            <v>30.114999999999998</v>
          </cell>
          <cell r="F760">
            <v>2.8000000000000001E-2</v>
          </cell>
        </row>
        <row r="761">
          <cell r="E761">
            <v>30.178999999999998</v>
          </cell>
          <cell r="F761">
            <v>0.30199999999999999</v>
          </cell>
        </row>
        <row r="762">
          <cell r="E762">
            <v>30.219000000000001</v>
          </cell>
          <cell r="F762">
            <v>8.5000000000000006E-2</v>
          </cell>
        </row>
        <row r="763">
          <cell r="E763">
            <v>30.225999999999999</v>
          </cell>
          <cell r="F763">
            <v>2.3E-2</v>
          </cell>
        </row>
        <row r="764">
          <cell r="E764">
            <v>30.227</v>
          </cell>
          <cell r="F764">
            <v>5.2999999999999999E-2</v>
          </cell>
        </row>
        <row r="765">
          <cell r="E765">
            <v>30.236999999999998</v>
          </cell>
          <cell r="F765">
            <v>4.5999999999999999E-2</v>
          </cell>
        </row>
        <row r="766">
          <cell r="E766">
            <v>30.241</v>
          </cell>
          <cell r="F766">
            <v>3.5000000000000003E-2</v>
          </cell>
        </row>
        <row r="767">
          <cell r="E767">
            <v>30.245000000000001</v>
          </cell>
          <cell r="F767">
            <v>4.8000000000000001E-2</v>
          </cell>
        </row>
        <row r="768">
          <cell r="E768">
            <v>30.256</v>
          </cell>
          <cell r="F768">
            <v>5.3999999999999999E-2</v>
          </cell>
        </row>
        <row r="769">
          <cell r="E769">
            <v>30.263000000000002</v>
          </cell>
          <cell r="F769">
            <v>9.2999999999999999E-2</v>
          </cell>
        </row>
        <row r="770">
          <cell r="E770">
            <v>30.274999999999999</v>
          </cell>
          <cell r="F770">
            <v>6.4000000000000001E-2</v>
          </cell>
        </row>
        <row r="771">
          <cell r="E771">
            <v>30.279</v>
          </cell>
          <cell r="F771">
            <v>0.56999999999999995</v>
          </cell>
        </row>
        <row r="772">
          <cell r="E772">
            <v>30.285</v>
          </cell>
          <cell r="F772">
            <v>3.1E-2</v>
          </cell>
        </row>
        <row r="773">
          <cell r="E773">
            <v>30.306000000000001</v>
          </cell>
          <cell r="F773">
            <v>0.09</v>
          </cell>
        </row>
        <row r="774">
          <cell r="E774">
            <v>30.31</v>
          </cell>
          <cell r="F774">
            <v>5.2999999999999999E-2</v>
          </cell>
        </row>
        <row r="775">
          <cell r="E775">
            <v>30.335999999999999</v>
          </cell>
          <cell r="F775">
            <v>6.8000000000000005E-2</v>
          </cell>
        </row>
        <row r="776">
          <cell r="E776">
            <v>30.353000000000002</v>
          </cell>
          <cell r="F776">
            <v>0.10100000000000001</v>
          </cell>
        </row>
        <row r="777">
          <cell r="E777">
            <v>30.367000000000001</v>
          </cell>
          <cell r="F777">
            <v>5.0000000000000001E-3</v>
          </cell>
        </row>
        <row r="778">
          <cell r="E778">
            <v>30.37</v>
          </cell>
          <cell r="F778">
            <v>0.187</v>
          </cell>
        </row>
        <row r="779">
          <cell r="E779">
            <v>30.382000000000001</v>
          </cell>
          <cell r="F779">
            <v>3.7999999999999999E-2</v>
          </cell>
        </row>
        <row r="780">
          <cell r="E780">
            <v>30.395</v>
          </cell>
          <cell r="F780">
            <v>0.152</v>
          </cell>
        </row>
        <row r="781">
          <cell r="E781">
            <v>30.757999999999999</v>
          </cell>
          <cell r="F781">
            <v>0.312</v>
          </cell>
        </row>
        <row r="782">
          <cell r="E782">
            <v>31.077999999999999</v>
          </cell>
          <cell r="F782">
            <v>0.46899999999999997</v>
          </cell>
        </row>
        <row r="783">
          <cell r="E783">
            <v>31.122</v>
          </cell>
          <cell r="F783">
            <v>0.56799999999999995</v>
          </cell>
        </row>
        <row r="784">
          <cell r="E784">
            <v>31.154</v>
          </cell>
          <cell r="F784">
            <v>7.8E-2</v>
          </cell>
        </row>
        <row r="785">
          <cell r="E785">
            <v>31.294</v>
          </cell>
          <cell r="F785">
            <v>0.30599999999999999</v>
          </cell>
        </row>
        <row r="786">
          <cell r="E786">
            <v>31.625</v>
          </cell>
          <cell r="F786">
            <v>0.45800000000000002</v>
          </cell>
        </row>
        <row r="787">
          <cell r="E787">
            <v>31.672999999999998</v>
          </cell>
          <cell r="F787">
            <v>0.19400000000000001</v>
          </cell>
        </row>
        <row r="788">
          <cell r="E788">
            <v>31.844000000000001</v>
          </cell>
          <cell r="F788">
            <v>0.29299999999999998</v>
          </cell>
        </row>
        <row r="789">
          <cell r="E789">
            <v>32.082999999999998</v>
          </cell>
          <cell r="F789">
            <v>0.45200000000000001</v>
          </cell>
        </row>
        <row r="790">
          <cell r="E790">
            <v>32.244</v>
          </cell>
          <cell r="F790">
            <v>0.27100000000000002</v>
          </cell>
        </row>
        <row r="791">
          <cell r="E791">
            <v>32.442</v>
          </cell>
          <cell r="F791">
            <v>0.107</v>
          </cell>
        </row>
        <row r="792">
          <cell r="E792">
            <v>32.509</v>
          </cell>
          <cell r="F792">
            <v>0.36899999999999999</v>
          </cell>
        </row>
        <row r="793">
          <cell r="E793">
            <v>32.573999999999998</v>
          </cell>
          <cell r="F793">
            <v>0.17799999999999999</v>
          </cell>
        </row>
        <row r="794">
          <cell r="E794">
            <v>32.604999999999997</v>
          </cell>
          <cell r="F794">
            <v>8.5999999999999993E-2</v>
          </cell>
        </row>
        <row r="795">
          <cell r="E795">
            <v>33.087000000000003</v>
          </cell>
          <cell r="F795">
            <v>0.223</v>
          </cell>
        </row>
        <row r="796">
          <cell r="E796">
            <v>33.243000000000002</v>
          </cell>
          <cell r="F796">
            <v>0.38600000000000001</v>
          </cell>
        </row>
        <row r="797">
          <cell r="E797">
            <v>33.345999999999997</v>
          </cell>
          <cell r="F797">
            <v>0.106</v>
          </cell>
        </row>
        <row r="798">
          <cell r="E798">
            <v>36.35</v>
          </cell>
          <cell r="F798">
            <v>0.13800000000000001</v>
          </cell>
        </row>
        <row r="799">
          <cell r="E799">
            <v>33.39</v>
          </cell>
          <cell r="F799">
            <v>9.7000000000000003E-2</v>
          </cell>
        </row>
        <row r="800">
          <cell r="E800">
            <v>33.590000000000003</v>
          </cell>
          <cell r="F800">
            <v>0.34100000000000003</v>
          </cell>
        </row>
        <row r="801">
          <cell r="E801">
            <v>33.679000000000002</v>
          </cell>
          <cell r="F801">
            <v>0.33700000000000002</v>
          </cell>
        </row>
        <row r="802">
          <cell r="E802">
            <v>33.840000000000003</v>
          </cell>
          <cell r="F802">
            <v>0.32600000000000001</v>
          </cell>
        </row>
        <row r="803">
          <cell r="E803">
            <v>34.159999999999997</v>
          </cell>
          <cell r="F803">
            <v>0.50600000000000001</v>
          </cell>
        </row>
        <row r="804">
          <cell r="E804">
            <v>34.305999999999997</v>
          </cell>
          <cell r="F804">
            <v>0.58899999999999997</v>
          </cell>
        </row>
        <row r="805">
          <cell r="E805">
            <v>34.676000000000002</v>
          </cell>
          <cell r="F805">
            <v>0.161</v>
          </cell>
        </row>
        <row r="806">
          <cell r="E806">
            <v>34.801000000000002</v>
          </cell>
          <cell r="F806">
            <v>8.2000000000000003E-2</v>
          </cell>
        </row>
        <row r="807">
          <cell r="E807">
            <v>34.808</v>
          </cell>
          <cell r="F807">
            <v>0.161</v>
          </cell>
        </row>
        <row r="808">
          <cell r="E808">
            <v>34.841000000000001</v>
          </cell>
          <cell r="F808">
            <v>0.44</v>
          </cell>
        </row>
        <row r="809">
          <cell r="E809">
            <v>35.183999999999997</v>
          </cell>
          <cell r="F809">
            <v>0.42299999999999999</v>
          </cell>
        </row>
        <row r="810">
          <cell r="E810">
            <v>35.603999999999999</v>
          </cell>
          <cell r="F810">
            <v>0.33200000000000002</v>
          </cell>
        </row>
        <row r="811">
          <cell r="E811">
            <v>36.08</v>
          </cell>
          <cell r="F811">
            <v>3.7999999999999999E-2</v>
          </cell>
        </row>
        <row r="812">
          <cell r="E812">
            <v>36.213000000000001</v>
          </cell>
          <cell r="F812">
            <v>0.12</v>
          </cell>
        </row>
        <row r="813">
          <cell r="E813">
            <v>36.249000000000002</v>
          </cell>
          <cell r="F813">
            <v>0.24199999999999999</v>
          </cell>
        </row>
        <row r="814">
          <cell r="E814">
            <v>36.273000000000003</v>
          </cell>
          <cell r="F814">
            <v>0.128</v>
          </cell>
        </row>
        <row r="815">
          <cell r="E815">
            <v>36.4</v>
          </cell>
          <cell r="F815">
            <v>0.08</v>
          </cell>
        </row>
        <row r="816">
          <cell r="E816">
            <v>36.51</v>
          </cell>
          <cell r="F816">
            <v>4.5999999999999999E-2</v>
          </cell>
        </row>
        <row r="817">
          <cell r="E817">
            <v>36.53</v>
          </cell>
          <cell r="F817">
            <v>2.5999999999999999E-2</v>
          </cell>
        </row>
        <row r="818">
          <cell r="E818">
            <v>36.548999999999999</v>
          </cell>
          <cell r="F818">
            <v>0.55500000000000005</v>
          </cell>
        </row>
        <row r="819">
          <cell r="E819">
            <v>36.619</v>
          </cell>
          <cell r="F819">
            <v>0.188</v>
          </cell>
        </row>
        <row r="820">
          <cell r="E820">
            <v>36.71</v>
          </cell>
          <cell r="F820">
            <v>9.6000000000000002E-2</v>
          </cell>
        </row>
        <row r="821">
          <cell r="E821">
            <v>36.85</v>
          </cell>
          <cell r="F821">
            <v>1.7000000000000001E-2</v>
          </cell>
        </row>
        <row r="822">
          <cell r="E822">
            <v>37</v>
          </cell>
          <cell r="F822">
            <v>1.7000000000000001E-2</v>
          </cell>
        </row>
        <row r="823">
          <cell r="E823">
            <v>37.36</v>
          </cell>
          <cell r="F823">
            <v>0.253</v>
          </cell>
        </row>
        <row r="824">
          <cell r="E824">
            <v>37.799999999999997</v>
          </cell>
          <cell r="F824">
            <v>1.4999999999999999E-2</v>
          </cell>
        </row>
        <row r="825">
          <cell r="E825">
            <v>37.384999999999998</v>
          </cell>
          <cell r="F825">
            <v>0.54700000000000004</v>
          </cell>
        </row>
        <row r="826">
          <cell r="E826">
            <v>37.83</v>
          </cell>
          <cell r="F826">
            <v>0.02</v>
          </cell>
        </row>
        <row r="827">
          <cell r="E827">
            <v>38.048000000000002</v>
          </cell>
          <cell r="F827">
            <v>0.24299999999999999</v>
          </cell>
        </row>
        <row r="828">
          <cell r="E828">
            <v>38.058</v>
          </cell>
          <cell r="F828">
            <v>4.2000000000000003E-2</v>
          </cell>
        </row>
        <row r="829">
          <cell r="E829">
            <v>38.264000000000003</v>
          </cell>
          <cell r="F829">
            <v>0.54200000000000004</v>
          </cell>
        </row>
        <row r="831">
          <cell r="E831">
            <v>38.281999999999996</v>
          </cell>
          <cell r="F831">
            <v>0.31</v>
          </cell>
        </row>
        <row r="832">
          <cell r="E832">
            <v>38.32</v>
          </cell>
          <cell r="F832">
            <v>3.5999999999999997E-2</v>
          </cell>
        </row>
        <row r="833">
          <cell r="E833">
            <v>38.479999999999997</v>
          </cell>
          <cell r="F833">
            <v>0.27200000000000002</v>
          </cell>
        </row>
        <row r="834">
          <cell r="E834">
            <v>38.72</v>
          </cell>
          <cell r="F834">
            <v>4.7E-2</v>
          </cell>
        </row>
        <row r="835">
          <cell r="E835">
            <v>38.74</v>
          </cell>
          <cell r="F835">
            <v>3.0000000000000001E-3</v>
          </cell>
        </row>
        <row r="836">
          <cell r="E836">
            <v>38.777000000000001</v>
          </cell>
          <cell r="F836">
            <v>0.155</v>
          </cell>
        </row>
        <row r="837">
          <cell r="E837">
            <v>38.78</v>
          </cell>
          <cell r="F837">
            <v>6.7000000000000004E-2</v>
          </cell>
        </row>
        <row r="838">
          <cell r="E838">
            <v>38.82</v>
          </cell>
          <cell r="F838">
            <v>5.0999999999999997E-2</v>
          </cell>
        </row>
        <row r="839">
          <cell r="E839">
            <v>38.826000000000001</v>
          </cell>
          <cell r="F839">
            <v>0.45700000000000002</v>
          </cell>
        </row>
        <row r="840">
          <cell r="E840">
            <v>38.835999999999999</v>
          </cell>
          <cell r="F840">
            <v>2.9000000000000001E-2</v>
          </cell>
        </row>
        <row r="841">
          <cell r="E841">
            <v>38.840000000000003</v>
          </cell>
          <cell r="F841">
            <v>3.2000000000000001E-2</v>
          </cell>
        </row>
        <row r="842">
          <cell r="E842">
            <v>38.866999999999997</v>
          </cell>
          <cell r="F842">
            <v>4.2000000000000003E-2</v>
          </cell>
        </row>
        <row r="843">
          <cell r="E843">
            <v>38.871000000000002</v>
          </cell>
          <cell r="F843">
            <v>4.3999999999999997E-2</v>
          </cell>
        </row>
        <row r="844">
          <cell r="E844">
            <v>39</v>
          </cell>
          <cell r="F844">
            <v>0.18</v>
          </cell>
        </row>
        <row r="845">
          <cell r="E845">
            <v>39.012</v>
          </cell>
          <cell r="F845">
            <v>0.26100000000000001</v>
          </cell>
        </row>
        <row r="846">
          <cell r="F846">
            <v>0.153</v>
          </cell>
        </row>
        <row r="847">
          <cell r="E847">
            <v>39.018000000000001</v>
          </cell>
          <cell r="F847">
            <v>0.20699999999999999</v>
          </cell>
        </row>
        <row r="848">
          <cell r="E848">
            <v>39.069000000000003</v>
          </cell>
          <cell r="F848">
            <v>6.5000000000000002E-2</v>
          </cell>
        </row>
        <row r="849">
          <cell r="E849">
            <v>39.084000000000003</v>
          </cell>
          <cell r="F849">
            <v>0.24099999999999999</v>
          </cell>
        </row>
        <row r="850">
          <cell r="E850">
            <v>39.091000000000001</v>
          </cell>
          <cell r="F850">
            <v>0.32</v>
          </cell>
        </row>
        <row r="851">
          <cell r="E851">
            <v>39.103999999999999</v>
          </cell>
          <cell r="F851">
            <v>0.22700000000000001</v>
          </cell>
        </row>
        <row r="852">
          <cell r="E852">
            <v>39.11</v>
          </cell>
          <cell r="F852">
            <v>0.04</v>
          </cell>
        </row>
        <row r="853">
          <cell r="E853">
            <v>39.130000000000003</v>
          </cell>
          <cell r="F853">
            <v>0.29599999999999999</v>
          </cell>
        </row>
        <row r="854">
          <cell r="E854">
            <v>39.130000000000003</v>
          </cell>
          <cell r="F854">
            <v>0.19600000000000001</v>
          </cell>
        </row>
        <row r="855">
          <cell r="E855">
            <v>39.159999999999997</v>
          </cell>
          <cell r="F855">
            <v>0.183</v>
          </cell>
        </row>
        <row r="856">
          <cell r="E856">
            <v>39.173999999999999</v>
          </cell>
          <cell r="F856">
            <v>0.22700000000000001</v>
          </cell>
          <cell r="AB856" t="str">
            <v>Orcus 🝿</v>
          </cell>
        </row>
        <row r="857">
          <cell r="F857">
            <v>1E-3</v>
          </cell>
        </row>
        <row r="858">
          <cell r="E858">
            <v>39.176000000000002</v>
          </cell>
          <cell r="F858">
            <v>0.28799999999999998</v>
          </cell>
        </row>
        <row r="859">
          <cell r="E859">
            <v>39.180999999999997</v>
          </cell>
          <cell r="F859">
            <v>0.183</v>
          </cell>
        </row>
        <row r="860">
          <cell r="E860">
            <v>39.200000000000003</v>
          </cell>
          <cell r="F860">
            <v>0.28000000000000003</v>
          </cell>
        </row>
        <row r="861">
          <cell r="E861">
            <v>39.222000000000001</v>
          </cell>
          <cell r="F861">
            <v>0.214</v>
          </cell>
        </row>
        <row r="862">
          <cell r="E862">
            <v>39.229999999999997</v>
          </cell>
          <cell r="F862">
            <v>0.29499999999999998</v>
          </cell>
        </row>
        <row r="863">
          <cell r="E863">
            <v>39.241</v>
          </cell>
          <cell r="F863">
            <v>0.114</v>
          </cell>
        </row>
        <row r="864">
          <cell r="E864">
            <v>39.270000000000003</v>
          </cell>
          <cell r="F864">
            <v>0.17399999999999999</v>
          </cell>
        </row>
        <row r="865">
          <cell r="E865">
            <v>39.262999999999998</v>
          </cell>
          <cell r="F865">
            <v>0.23499999999999999</v>
          </cell>
        </row>
        <row r="866">
          <cell r="E866">
            <v>39.268999999999998</v>
          </cell>
          <cell r="F866">
            <v>0.25700000000000001</v>
          </cell>
        </row>
        <row r="867">
          <cell r="E867">
            <v>39.281999999999996</v>
          </cell>
          <cell r="F867">
            <v>0.129</v>
          </cell>
        </row>
        <row r="868">
          <cell r="E868">
            <v>39.289000000000001</v>
          </cell>
          <cell r="F868">
            <v>0.23699999999999999</v>
          </cell>
        </row>
        <row r="869">
          <cell r="E869">
            <v>39.305999999999997</v>
          </cell>
          <cell r="F869">
            <v>8.4000000000000005E-2</v>
          </cell>
        </row>
        <row r="870">
          <cell r="E870">
            <v>39.305999999999997</v>
          </cell>
          <cell r="F870">
            <v>0.192</v>
          </cell>
        </row>
        <row r="871">
          <cell r="E871">
            <v>39.311</v>
          </cell>
          <cell r="F871">
            <v>0.14599999999999999</v>
          </cell>
        </row>
        <row r="872">
          <cell r="E872">
            <v>39.325000000000003</v>
          </cell>
          <cell r="F872">
            <v>0.26300000000000001</v>
          </cell>
        </row>
        <row r="873">
          <cell r="E873">
            <v>39.33</v>
          </cell>
          <cell r="F873">
            <v>0.17599999999999999</v>
          </cell>
        </row>
        <row r="874">
          <cell r="E874">
            <v>39.338000000000001</v>
          </cell>
          <cell r="F874">
            <v>0.19900000000000001</v>
          </cell>
        </row>
        <row r="875">
          <cell r="E875">
            <v>39.353000000000002</v>
          </cell>
          <cell r="F875">
            <v>0.152</v>
          </cell>
        </row>
        <row r="876">
          <cell r="E876">
            <v>39.36</v>
          </cell>
          <cell r="F876">
            <v>0.245</v>
          </cell>
        </row>
        <row r="877">
          <cell r="E877">
            <v>39.362000000000002</v>
          </cell>
          <cell r="F877">
            <v>0.183</v>
          </cell>
        </row>
        <row r="879">
          <cell r="E879">
            <v>39.375</v>
          </cell>
          <cell r="F879">
            <v>7.9000000000000001E-2</v>
          </cell>
        </row>
        <row r="880">
          <cell r="E880">
            <v>39.381999999999998</v>
          </cell>
          <cell r="F880">
            <v>0.254</v>
          </cell>
        </row>
        <row r="881">
          <cell r="E881">
            <v>39.39</v>
          </cell>
          <cell r="F881">
            <v>0.14099999999999999</v>
          </cell>
        </row>
        <row r="882">
          <cell r="E882">
            <v>39.408999999999999</v>
          </cell>
          <cell r="F882">
            <v>0.25600000000000001</v>
          </cell>
        </row>
        <row r="883">
          <cell r="E883">
            <v>39.409999999999997</v>
          </cell>
          <cell r="F883">
            <v>0.217</v>
          </cell>
        </row>
        <row r="884">
          <cell r="E884">
            <v>39.415999999999997</v>
          </cell>
          <cell r="F884">
            <v>0.127</v>
          </cell>
        </row>
        <row r="885">
          <cell r="E885">
            <v>39.42</v>
          </cell>
          <cell r="F885">
            <v>0.29699999999999999</v>
          </cell>
        </row>
        <row r="886">
          <cell r="E886">
            <v>39.435000000000002</v>
          </cell>
          <cell r="F886">
            <v>7.5999999999999998E-2</v>
          </cell>
        </row>
        <row r="887">
          <cell r="E887">
            <v>39.439</v>
          </cell>
          <cell r="F887">
            <v>0.19800000000000001</v>
          </cell>
        </row>
        <row r="888">
          <cell r="E888">
            <v>39.447000000000003</v>
          </cell>
          <cell r="F888">
            <v>7.5999999999999998E-2</v>
          </cell>
        </row>
        <row r="889">
          <cell r="E889">
            <v>39.451999999999998</v>
          </cell>
          <cell r="F889">
            <v>0.156</v>
          </cell>
        </row>
        <row r="890">
          <cell r="E890">
            <v>39.468000000000004</v>
          </cell>
          <cell r="F890">
            <v>0.16700000000000001</v>
          </cell>
        </row>
        <row r="891">
          <cell r="E891">
            <v>39.47</v>
          </cell>
          <cell r="F891">
            <v>0.22600000000000001</v>
          </cell>
        </row>
        <row r="894">
          <cell r="E894">
            <v>39.47</v>
          </cell>
          <cell r="F894">
            <v>7.0000000000000007E-2</v>
          </cell>
        </row>
        <row r="895">
          <cell r="E895">
            <v>39.479999999999997</v>
          </cell>
          <cell r="F895">
            <v>0.121</v>
          </cell>
        </row>
        <row r="896">
          <cell r="E896">
            <v>39.479999999999997</v>
          </cell>
          <cell r="F896">
            <v>0.114</v>
          </cell>
        </row>
        <row r="897">
          <cell r="E897">
            <v>39.481999999999999</v>
          </cell>
          <cell r="F897">
            <v>0.249</v>
          </cell>
          <cell r="AB897" t="str">
            <v>Pluto ♇</v>
          </cell>
        </row>
        <row r="898">
          <cell r="F898">
            <v>0</v>
          </cell>
        </row>
        <row r="899">
          <cell r="F899">
            <v>6.0000000000000001E-3</v>
          </cell>
        </row>
        <row r="900">
          <cell r="F900">
            <v>2E-3</v>
          </cell>
        </row>
        <row r="901">
          <cell r="F901">
            <v>3.0000000000000001E-3</v>
          </cell>
        </row>
        <row r="902">
          <cell r="F902">
            <v>6.0000000000000001E-3</v>
          </cell>
        </row>
        <row r="903">
          <cell r="E903">
            <v>39.515000000000001</v>
          </cell>
          <cell r="F903">
            <v>0.16900000000000001</v>
          </cell>
        </row>
        <row r="904">
          <cell r="E904">
            <v>39.533999999999999</v>
          </cell>
          <cell r="F904">
            <v>0.24</v>
          </cell>
        </row>
        <row r="905">
          <cell r="E905">
            <v>39.534999999999997</v>
          </cell>
          <cell r="F905">
            <v>0.30099999999999999</v>
          </cell>
        </row>
        <row r="906">
          <cell r="E906">
            <v>39.549999999999997</v>
          </cell>
          <cell r="F906">
            <v>0.22</v>
          </cell>
        </row>
        <row r="907">
          <cell r="E907">
            <v>39.549999999999997</v>
          </cell>
          <cell r="F907">
            <v>0.27100000000000002</v>
          </cell>
        </row>
        <row r="908">
          <cell r="E908">
            <v>39.554000000000002</v>
          </cell>
          <cell r="F908">
            <v>0.112</v>
          </cell>
        </row>
        <row r="909">
          <cell r="E909">
            <v>39.57</v>
          </cell>
          <cell r="F909">
            <v>0.26700000000000002</v>
          </cell>
        </row>
        <row r="910">
          <cell r="E910">
            <v>39.588999999999999</v>
          </cell>
          <cell r="F910">
            <v>2.5000000000000001E-2</v>
          </cell>
        </row>
        <row r="911">
          <cell r="E911">
            <v>39.590000000000003</v>
          </cell>
          <cell r="F911">
            <v>0.09</v>
          </cell>
        </row>
        <row r="912">
          <cell r="E912">
            <v>39.590000000000003</v>
          </cell>
          <cell r="F912">
            <v>0.22700000000000001</v>
          </cell>
        </row>
        <row r="913">
          <cell r="E913">
            <v>39.606999999999999</v>
          </cell>
          <cell r="F913">
            <v>0.14599999999999999</v>
          </cell>
        </row>
        <row r="914">
          <cell r="E914">
            <v>39.615000000000002</v>
          </cell>
          <cell r="F914">
            <v>0.13600000000000001</v>
          </cell>
        </row>
        <row r="915">
          <cell r="E915">
            <v>39.631</v>
          </cell>
          <cell r="F915">
            <v>0.20699999999999999</v>
          </cell>
        </row>
        <row r="916">
          <cell r="E916">
            <v>39.64</v>
          </cell>
          <cell r="F916">
            <v>0.17100000000000001</v>
          </cell>
        </row>
        <row r="917">
          <cell r="E917">
            <v>39.659999999999997</v>
          </cell>
          <cell r="F917">
            <v>0.153</v>
          </cell>
        </row>
        <row r="918">
          <cell r="E918">
            <v>39.694000000000003</v>
          </cell>
          <cell r="F918">
            <v>0.28100000000000003</v>
          </cell>
        </row>
        <row r="920">
          <cell r="E920">
            <v>39.706000000000003</v>
          </cell>
          <cell r="F920">
            <v>0.187</v>
          </cell>
        </row>
        <row r="921">
          <cell r="E921">
            <v>39.72</v>
          </cell>
          <cell r="F921">
            <v>0.125</v>
          </cell>
        </row>
        <row r="922">
          <cell r="E922">
            <v>39.725999999999999</v>
          </cell>
          <cell r="F922">
            <v>0.192</v>
          </cell>
        </row>
        <row r="923">
          <cell r="E923">
            <v>39.747</v>
          </cell>
          <cell r="F923">
            <v>0.185</v>
          </cell>
        </row>
        <row r="924">
          <cell r="E924">
            <v>39.747</v>
          </cell>
          <cell r="F924">
            <v>0.218</v>
          </cell>
        </row>
        <row r="925">
          <cell r="E925">
            <v>39.75</v>
          </cell>
          <cell r="F925">
            <v>0.156</v>
          </cell>
        </row>
        <row r="926">
          <cell r="E926">
            <v>39.756</v>
          </cell>
          <cell r="F926">
            <v>0.28499999999999998</v>
          </cell>
        </row>
        <row r="927">
          <cell r="E927">
            <v>39.783000000000001</v>
          </cell>
          <cell r="F927">
            <v>0.32200000000000001</v>
          </cell>
        </row>
        <row r="928">
          <cell r="E928">
            <v>39.799999999999997</v>
          </cell>
          <cell r="F928">
            <v>4.1000000000000002E-2</v>
          </cell>
        </row>
        <row r="929">
          <cell r="E929">
            <v>39.802</v>
          </cell>
          <cell r="F929">
            <v>0.246</v>
          </cell>
        </row>
        <row r="930">
          <cell r="E930">
            <v>39.81</v>
          </cell>
          <cell r="F930">
            <v>2.9000000000000001E-2</v>
          </cell>
        </row>
        <row r="931">
          <cell r="E931">
            <v>39.826999999999998</v>
          </cell>
          <cell r="F931">
            <v>0.38</v>
          </cell>
        </row>
        <row r="932">
          <cell r="E932">
            <v>39.838999999999999</v>
          </cell>
          <cell r="F932">
            <v>0.18099999999999999</v>
          </cell>
        </row>
        <row r="933">
          <cell r="E933">
            <v>39.840000000000003</v>
          </cell>
          <cell r="F933">
            <v>0.187</v>
          </cell>
        </row>
        <row r="934">
          <cell r="E934">
            <v>39.853999999999999</v>
          </cell>
          <cell r="F934">
            <v>7.5999999999999998E-2</v>
          </cell>
        </row>
        <row r="935">
          <cell r="E935">
            <v>40.219000000000001</v>
          </cell>
          <cell r="F935">
            <v>0.28199999999999997</v>
          </cell>
        </row>
        <row r="936">
          <cell r="E936">
            <v>40.229999999999997</v>
          </cell>
          <cell r="F936">
            <v>5.7000000000000002E-2</v>
          </cell>
        </row>
        <row r="937">
          <cell r="E937">
            <v>40.253</v>
          </cell>
          <cell r="F937">
            <v>7.6999999999999999E-2</v>
          </cell>
        </row>
        <row r="938">
          <cell r="E938">
            <v>40.280999999999999</v>
          </cell>
          <cell r="F938">
            <v>9.1999999999999998E-2</v>
          </cell>
        </row>
        <row r="939">
          <cell r="E939">
            <v>40.340000000000003</v>
          </cell>
          <cell r="F939">
            <v>6.4000000000000001E-2</v>
          </cell>
        </row>
        <row r="940">
          <cell r="E940">
            <v>40.371000000000002</v>
          </cell>
          <cell r="F940">
            <v>2.3E-2</v>
          </cell>
        </row>
        <row r="941">
          <cell r="E941">
            <v>40.42</v>
          </cell>
          <cell r="F941">
            <v>5.5E-2</v>
          </cell>
        </row>
        <row r="942">
          <cell r="E942">
            <v>40.47</v>
          </cell>
          <cell r="F942">
            <v>2.3E-2</v>
          </cell>
        </row>
        <row r="943">
          <cell r="E943">
            <v>40.520000000000003</v>
          </cell>
          <cell r="F943">
            <v>5.2999999999999999E-2</v>
          </cell>
        </row>
        <row r="944">
          <cell r="E944">
            <v>40.520000000000003</v>
          </cell>
          <cell r="F944">
            <v>7.8E-2</v>
          </cell>
        </row>
        <row r="945">
          <cell r="E945">
            <v>40.555</v>
          </cell>
          <cell r="F945">
            <v>4.7E-2</v>
          </cell>
        </row>
        <row r="946">
          <cell r="E946">
            <v>40.65</v>
          </cell>
          <cell r="F946">
            <v>5.0000000000000001E-3</v>
          </cell>
        </row>
        <row r="947">
          <cell r="E947">
            <v>40.659999999999997</v>
          </cell>
          <cell r="F947">
            <v>0.86699999999999999</v>
          </cell>
        </row>
        <row r="948">
          <cell r="E948">
            <v>40.685000000000002</v>
          </cell>
          <cell r="F948">
            <v>8.4000000000000005E-2</v>
          </cell>
        </row>
        <row r="949">
          <cell r="E949">
            <v>40.69</v>
          </cell>
          <cell r="F949">
            <v>9.1999999999999998E-2</v>
          </cell>
        </row>
        <row r="950">
          <cell r="E950">
            <v>40.700000000000003</v>
          </cell>
          <cell r="F950">
            <v>8.3000000000000004E-2</v>
          </cell>
        </row>
        <row r="951">
          <cell r="E951">
            <v>40.716999999999999</v>
          </cell>
          <cell r="F951">
            <v>4.9000000000000002E-2</v>
          </cell>
        </row>
        <row r="952">
          <cell r="E952">
            <v>40.718000000000004</v>
          </cell>
          <cell r="F952">
            <v>8.2000000000000003E-2</v>
          </cell>
        </row>
        <row r="953">
          <cell r="E953">
            <v>40.770000000000003</v>
          </cell>
          <cell r="F953">
            <v>8.6999999999999994E-2</v>
          </cell>
        </row>
        <row r="954">
          <cell r="E954">
            <v>40.79</v>
          </cell>
          <cell r="F954">
            <v>8.7999999999999995E-2</v>
          </cell>
        </row>
        <row r="955">
          <cell r="E955">
            <v>40.86</v>
          </cell>
          <cell r="F955">
            <v>6.4000000000000001E-2</v>
          </cell>
        </row>
        <row r="956">
          <cell r="E956">
            <v>40.9</v>
          </cell>
          <cell r="F956">
            <v>0.12</v>
          </cell>
        </row>
        <row r="957">
          <cell r="E957">
            <v>40.92</v>
          </cell>
          <cell r="F957">
            <v>0.11600000000000001</v>
          </cell>
        </row>
        <row r="958">
          <cell r="E958">
            <v>40.98</v>
          </cell>
          <cell r="F958">
            <v>0.14399999999999999</v>
          </cell>
        </row>
        <row r="959">
          <cell r="E959">
            <v>41.033000000000001</v>
          </cell>
          <cell r="F959">
            <v>0.246</v>
          </cell>
        </row>
        <row r="960">
          <cell r="E960">
            <v>41.127000000000002</v>
          </cell>
          <cell r="F960">
            <v>0.14099999999999999</v>
          </cell>
        </row>
        <row r="961">
          <cell r="E961">
            <v>41.137</v>
          </cell>
          <cell r="F961">
            <v>0.11</v>
          </cell>
        </row>
        <row r="962">
          <cell r="E962">
            <v>41.14</v>
          </cell>
          <cell r="F962">
            <v>0.03</v>
          </cell>
        </row>
        <row r="963">
          <cell r="E963">
            <v>41.145000000000003</v>
          </cell>
          <cell r="F963">
            <v>0.05</v>
          </cell>
        </row>
        <row r="964">
          <cell r="E964">
            <v>41.22</v>
          </cell>
          <cell r="F964">
            <v>8.4000000000000005E-2</v>
          </cell>
        </row>
        <row r="965">
          <cell r="E965">
            <v>41.23</v>
          </cell>
          <cell r="F965">
            <v>9.1999999999999998E-2</v>
          </cell>
        </row>
        <row r="966">
          <cell r="E966">
            <v>41.24</v>
          </cell>
          <cell r="F966">
            <v>0.13400000000000001</v>
          </cell>
        </row>
        <row r="967">
          <cell r="E967">
            <v>41.26</v>
          </cell>
          <cell r="F967">
            <v>0.13500000000000001</v>
          </cell>
        </row>
        <row r="968">
          <cell r="E968">
            <v>41.265999999999998</v>
          </cell>
          <cell r="F968">
            <v>0.13100000000000001</v>
          </cell>
        </row>
        <row r="969">
          <cell r="E969">
            <v>41.35</v>
          </cell>
          <cell r="F969">
            <v>0.13500000000000001</v>
          </cell>
        </row>
        <row r="970">
          <cell r="E970">
            <v>41.359000000000002</v>
          </cell>
          <cell r="F970">
            <v>1.9E-2</v>
          </cell>
        </row>
        <row r="971">
          <cell r="E971">
            <v>41.36</v>
          </cell>
          <cell r="F971">
            <v>0.106</v>
          </cell>
        </row>
        <row r="972">
          <cell r="E972">
            <v>41.381999999999998</v>
          </cell>
          <cell r="F972">
            <v>0.04</v>
          </cell>
        </row>
        <row r="973">
          <cell r="E973">
            <v>41.417000000000002</v>
          </cell>
          <cell r="F973">
            <v>0.21299999999999999</v>
          </cell>
        </row>
        <row r="974">
          <cell r="E974">
            <v>41.42</v>
          </cell>
          <cell r="F974">
            <v>5.3999999999999999E-2</v>
          </cell>
        </row>
        <row r="975">
          <cell r="E975">
            <v>41.44</v>
          </cell>
          <cell r="F975">
            <v>0.21099999999999999</v>
          </cell>
        </row>
        <row r="976">
          <cell r="E976">
            <v>41.5</v>
          </cell>
          <cell r="F976">
            <v>8.3000000000000004E-2</v>
          </cell>
        </row>
        <row r="977">
          <cell r="E977">
            <v>41.503</v>
          </cell>
          <cell r="F977">
            <v>0.15</v>
          </cell>
        </row>
        <row r="978">
          <cell r="E978">
            <v>41.533999999999999</v>
          </cell>
          <cell r="F978">
            <v>2.5000000000000001E-2</v>
          </cell>
        </row>
        <row r="979">
          <cell r="E979">
            <v>41.548000000000002</v>
          </cell>
          <cell r="F979">
            <v>7.4999999999999997E-2</v>
          </cell>
        </row>
        <row r="980">
          <cell r="E980">
            <v>41.601999999999997</v>
          </cell>
          <cell r="F980">
            <v>0.14599999999999999</v>
          </cell>
        </row>
        <row r="981">
          <cell r="E981">
            <v>41.63</v>
          </cell>
          <cell r="F981">
            <v>0.104</v>
          </cell>
        </row>
        <row r="982">
          <cell r="E982">
            <v>41.65</v>
          </cell>
          <cell r="F982">
            <v>5.5E-2</v>
          </cell>
        </row>
        <row r="983">
          <cell r="E983">
            <v>41.67</v>
          </cell>
          <cell r="F983">
            <v>0.14000000000000001</v>
          </cell>
        </row>
        <row r="984">
          <cell r="E984">
            <v>41.67</v>
          </cell>
          <cell r="F984">
            <v>0.10299999999999999</v>
          </cell>
        </row>
        <row r="985">
          <cell r="E985">
            <v>41.670999999999999</v>
          </cell>
          <cell r="F985">
            <v>0.47599999999999998</v>
          </cell>
        </row>
        <row r="986">
          <cell r="E986">
            <v>41.677</v>
          </cell>
          <cell r="F986">
            <v>6.2E-2</v>
          </cell>
        </row>
        <row r="987">
          <cell r="E987">
            <v>41.68</v>
          </cell>
          <cell r="F987">
            <v>9.1999999999999998E-2</v>
          </cell>
        </row>
        <row r="988">
          <cell r="E988">
            <v>41.7</v>
          </cell>
          <cell r="F988">
            <v>9.7000000000000003E-2</v>
          </cell>
        </row>
        <row r="989">
          <cell r="E989">
            <v>41.71</v>
          </cell>
          <cell r="F989">
            <v>0.14799999999999999</v>
          </cell>
        </row>
        <row r="990">
          <cell r="E990">
            <v>41.72</v>
          </cell>
          <cell r="F990">
            <v>0.15</v>
          </cell>
        </row>
        <row r="991">
          <cell r="E991">
            <v>41.738999999999997</v>
          </cell>
          <cell r="F991">
            <v>0.14499999999999999</v>
          </cell>
        </row>
        <row r="992">
          <cell r="E992">
            <v>41.74</v>
          </cell>
          <cell r="F992">
            <v>4.9000000000000002E-2</v>
          </cell>
        </row>
        <row r="993">
          <cell r="E993">
            <v>41.76</v>
          </cell>
          <cell r="F993">
            <v>0.152</v>
          </cell>
        </row>
        <row r="994">
          <cell r="E994">
            <v>41.787999999999997</v>
          </cell>
          <cell r="F994">
            <v>0.14499999999999999</v>
          </cell>
        </row>
        <row r="995">
          <cell r="E995">
            <v>41.79</v>
          </cell>
          <cell r="F995">
            <v>0.14000000000000001</v>
          </cell>
        </row>
        <row r="996">
          <cell r="E996">
            <v>41.81</v>
          </cell>
          <cell r="F996">
            <v>6.4000000000000001E-2</v>
          </cell>
        </row>
        <row r="997">
          <cell r="E997">
            <v>41.865000000000002</v>
          </cell>
          <cell r="F997">
            <v>9.7000000000000003E-2</v>
          </cell>
        </row>
        <row r="998">
          <cell r="E998">
            <v>41.914000000000001</v>
          </cell>
          <cell r="F998">
            <v>0.371</v>
          </cell>
        </row>
        <row r="999">
          <cell r="E999">
            <v>41.948</v>
          </cell>
          <cell r="F999">
            <v>0.307</v>
          </cell>
        </row>
        <row r="1000">
          <cell r="E1000">
            <v>41.954000000000001</v>
          </cell>
          <cell r="F1000">
            <v>0.67900000000000005</v>
          </cell>
        </row>
        <row r="1001">
          <cell r="E1001">
            <v>41.972000000000001</v>
          </cell>
          <cell r="F1001">
            <v>0.14399999999999999</v>
          </cell>
        </row>
        <row r="1002">
          <cell r="E1002">
            <v>42.021999999999998</v>
          </cell>
          <cell r="F1002">
            <v>0.23100000000000001</v>
          </cell>
        </row>
        <row r="1003">
          <cell r="E1003">
            <v>42.05</v>
          </cell>
          <cell r="F1003">
            <v>0.13200000000000001</v>
          </cell>
        </row>
        <row r="1004">
          <cell r="E1004">
            <v>42.058999999999997</v>
          </cell>
          <cell r="F1004">
            <v>0.16500000000000001</v>
          </cell>
        </row>
        <row r="1005">
          <cell r="E1005">
            <v>42.027999999999999</v>
          </cell>
          <cell r="F1005">
            <v>9.8000000000000004E-2</v>
          </cell>
        </row>
        <row r="1006">
          <cell r="E1006">
            <v>42.061999999999998</v>
          </cell>
          <cell r="F1006">
            <v>5.1999999999999998E-2</v>
          </cell>
        </row>
        <row r="1007">
          <cell r="E1007">
            <v>42.104999999999997</v>
          </cell>
          <cell r="F1007">
            <v>0.10299999999999999</v>
          </cell>
        </row>
        <row r="1008">
          <cell r="E1008">
            <v>42.15</v>
          </cell>
          <cell r="F1008">
            <v>0.111</v>
          </cell>
        </row>
        <row r="1009">
          <cell r="E1009">
            <v>42.173000000000002</v>
          </cell>
          <cell r="F1009">
            <v>8.2000000000000003E-2</v>
          </cell>
        </row>
        <row r="1010">
          <cell r="E1010">
            <v>42.180999999999997</v>
          </cell>
          <cell r="F1010">
            <v>0.16200000000000001</v>
          </cell>
        </row>
        <row r="1011">
          <cell r="E1011">
            <v>42.183999999999997</v>
          </cell>
          <cell r="F1011">
            <v>0.106</v>
          </cell>
        </row>
        <row r="1012">
          <cell r="F1012">
            <v>0.01</v>
          </cell>
        </row>
        <row r="1013">
          <cell r="E1013">
            <v>42.2</v>
          </cell>
          <cell r="F1013">
            <v>0.25</v>
          </cell>
        </row>
        <row r="1014">
          <cell r="E1014">
            <v>42.21</v>
          </cell>
          <cell r="F1014">
            <v>0.17299999999999999</v>
          </cell>
        </row>
        <row r="1015">
          <cell r="E1015">
            <v>42.252000000000002</v>
          </cell>
          <cell r="F1015">
            <v>0.16300000000000001</v>
          </cell>
        </row>
        <row r="1016">
          <cell r="E1016">
            <v>42.253</v>
          </cell>
          <cell r="F1016">
            <v>8.5999999999999993E-2</v>
          </cell>
        </row>
        <row r="1017">
          <cell r="E1017">
            <v>42.28</v>
          </cell>
          <cell r="F1017">
            <v>0.104</v>
          </cell>
        </row>
        <row r="1018">
          <cell r="E1018">
            <v>42.4</v>
          </cell>
          <cell r="F1018">
            <v>0.128</v>
          </cell>
        </row>
        <row r="1019">
          <cell r="E1019">
            <v>42.44</v>
          </cell>
          <cell r="F1019">
            <v>0.23100000000000001</v>
          </cell>
        </row>
        <row r="1020">
          <cell r="E1020">
            <v>42.44</v>
          </cell>
          <cell r="F1020">
            <v>0.14499999999999999</v>
          </cell>
        </row>
        <row r="1021">
          <cell r="E1021">
            <v>42.46</v>
          </cell>
          <cell r="F1021">
            <v>8.1000000000000003E-2</v>
          </cell>
        </row>
        <row r="1022">
          <cell r="E1022">
            <v>42.488</v>
          </cell>
          <cell r="F1022">
            <v>0.14099999999999999</v>
          </cell>
        </row>
        <row r="1023">
          <cell r="F1023">
            <v>0.18</v>
          </cell>
        </row>
        <row r="1024">
          <cell r="E1024">
            <v>42.52</v>
          </cell>
          <cell r="F1024">
            <v>0.161</v>
          </cell>
        </row>
        <row r="1025">
          <cell r="E1025">
            <v>42.55</v>
          </cell>
          <cell r="F1025">
            <v>0.104</v>
          </cell>
        </row>
        <row r="1026">
          <cell r="E1026">
            <v>42.551000000000002</v>
          </cell>
          <cell r="F1026">
            <v>0.24199999999999999</v>
          </cell>
        </row>
        <row r="1027">
          <cell r="E1027">
            <v>42.578000000000003</v>
          </cell>
          <cell r="F1027">
            <v>7.6999999999999999E-2</v>
          </cell>
        </row>
        <row r="1028">
          <cell r="E1028">
            <v>42.587000000000003</v>
          </cell>
          <cell r="F1028">
            <v>0.01</v>
          </cell>
        </row>
        <row r="1029">
          <cell r="E1029">
            <v>42.59</v>
          </cell>
          <cell r="F1029">
            <v>0.115</v>
          </cell>
        </row>
        <row r="1030">
          <cell r="E1030">
            <v>42.59</v>
          </cell>
          <cell r="F1030">
            <v>2.9000000000000001E-2</v>
          </cell>
        </row>
        <row r="1031">
          <cell r="E1031">
            <v>42.6</v>
          </cell>
          <cell r="F1031">
            <v>0.13100000000000001</v>
          </cell>
        </row>
        <row r="1032">
          <cell r="E1032">
            <v>42.62</v>
          </cell>
          <cell r="F1032">
            <v>4.9000000000000002E-2</v>
          </cell>
        </row>
        <row r="1033">
          <cell r="E1033">
            <v>42.631999999999998</v>
          </cell>
          <cell r="F1033">
            <v>0.11</v>
          </cell>
        </row>
        <row r="1034">
          <cell r="E1034">
            <v>42.64</v>
          </cell>
          <cell r="F1034">
            <v>0.16900000000000001</v>
          </cell>
        </row>
        <row r="1035">
          <cell r="E1035">
            <v>42.662999999999997</v>
          </cell>
          <cell r="F1035">
            <v>0.15</v>
          </cell>
        </row>
        <row r="1036">
          <cell r="E1036">
            <v>42.67</v>
          </cell>
          <cell r="F1036">
            <v>0.20499999999999999</v>
          </cell>
        </row>
        <row r="1037">
          <cell r="E1037">
            <v>42.682000000000002</v>
          </cell>
          <cell r="F1037">
            <v>0.40100000000000002</v>
          </cell>
        </row>
        <row r="1038">
          <cell r="E1038">
            <v>42.712000000000003</v>
          </cell>
          <cell r="F1038">
            <v>0.17499999999999999</v>
          </cell>
        </row>
        <row r="1039">
          <cell r="E1039">
            <v>42.718000000000004</v>
          </cell>
          <cell r="F1039">
            <v>5.6000000000000001E-2</v>
          </cell>
        </row>
        <row r="1040">
          <cell r="E1040">
            <v>42.74</v>
          </cell>
          <cell r="F1040">
            <v>7.5999999999999998E-2</v>
          </cell>
        </row>
        <row r="1041">
          <cell r="E1041">
            <v>42.773000000000003</v>
          </cell>
          <cell r="F1041">
            <v>0.123</v>
          </cell>
        </row>
        <row r="1042">
          <cell r="E1042">
            <v>42.776000000000003</v>
          </cell>
          <cell r="F1042">
            <v>3.6999999999999998E-2</v>
          </cell>
        </row>
        <row r="1043">
          <cell r="F1043">
            <v>0.55600000000000005</v>
          </cell>
        </row>
        <row r="1044">
          <cell r="E1044">
            <v>42.777999999999999</v>
          </cell>
          <cell r="F1044">
            <v>1.4E-2</v>
          </cell>
        </row>
        <row r="1045">
          <cell r="E1045">
            <v>42.786000000000001</v>
          </cell>
          <cell r="F1045">
            <v>0.13500000000000001</v>
          </cell>
        </row>
        <row r="1046">
          <cell r="E1046">
            <v>42.801000000000002</v>
          </cell>
          <cell r="F1046">
            <v>0.115</v>
          </cell>
        </row>
        <row r="1047">
          <cell r="E1047">
            <v>42.829000000000001</v>
          </cell>
          <cell r="F1047">
            <v>4.5999999999999999E-2</v>
          </cell>
        </row>
        <row r="1048">
          <cell r="E1048">
            <v>42.85</v>
          </cell>
          <cell r="F1048">
            <v>5.6000000000000001E-2</v>
          </cell>
        </row>
        <row r="1049">
          <cell r="E1049">
            <v>42.874000000000002</v>
          </cell>
          <cell r="F1049">
            <v>0.17100000000000001</v>
          </cell>
        </row>
        <row r="1050">
          <cell r="E1050">
            <v>42.896999999999998</v>
          </cell>
          <cell r="F1050">
            <v>0.157</v>
          </cell>
        </row>
        <row r="1051">
          <cell r="E1051">
            <v>42.905999999999999</v>
          </cell>
          <cell r="F1051">
            <v>5.7000000000000002E-2</v>
          </cell>
        </row>
        <row r="1052">
          <cell r="E1052">
            <v>42.95</v>
          </cell>
          <cell r="F1052">
            <v>0.111</v>
          </cell>
        </row>
        <row r="1053">
          <cell r="E1053">
            <v>43</v>
          </cell>
          <cell r="F1053">
            <v>6.9000000000000006E-2</v>
          </cell>
        </row>
        <row r="1054">
          <cell r="E1054">
            <v>43</v>
          </cell>
          <cell r="F1054">
            <v>0.1</v>
          </cell>
        </row>
        <row r="1055">
          <cell r="E1055">
            <v>43</v>
          </cell>
          <cell r="F1055">
            <v>7.5999999999999998E-2</v>
          </cell>
        </row>
        <row r="1056">
          <cell r="E1056">
            <v>43.014000000000003</v>
          </cell>
          <cell r="F1056">
            <v>0.14499999999999999</v>
          </cell>
        </row>
        <row r="1057">
          <cell r="E1057">
            <v>43.018999999999998</v>
          </cell>
          <cell r="F1057">
            <v>0.11700000000000001</v>
          </cell>
        </row>
        <row r="1058">
          <cell r="E1058">
            <v>43.036999999999999</v>
          </cell>
          <cell r="F1058">
            <v>6.2E-2</v>
          </cell>
        </row>
        <row r="1059">
          <cell r="E1059">
            <v>43.05</v>
          </cell>
          <cell r="F1059">
            <v>3.3000000000000002E-2</v>
          </cell>
        </row>
        <row r="1060">
          <cell r="E1060">
            <v>43.05</v>
          </cell>
          <cell r="F1060">
            <v>0.106</v>
          </cell>
        </row>
        <row r="1061">
          <cell r="E1061">
            <v>43.052</v>
          </cell>
          <cell r="F1061">
            <v>0.106</v>
          </cell>
        </row>
        <row r="1062">
          <cell r="E1062">
            <v>43.07</v>
          </cell>
          <cell r="F1062">
            <v>0.151</v>
          </cell>
        </row>
        <row r="1063">
          <cell r="E1063">
            <v>43.1</v>
          </cell>
          <cell r="F1063">
            <v>0.09</v>
          </cell>
        </row>
        <row r="1064">
          <cell r="E1064">
            <v>43.100999999999999</v>
          </cell>
          <cell r="F1064">
            <v>0.182</v>
          </cell>
        </row>
        <row r="1065">
          <cell r="E1065">
            <v>43.116</v>
          </cell>
          <cell r="F1065">
            <v>0.19600000000000001</v>
          </cell>
          <cell r="AB1065" t="str">
            <v>Haumea 🝻</v>
          </cell>
        </row>
        <row r="1066">
          <cell r="F1066">
            <v>0.249</v>
          </cell>
        </row>
        <row r="1067">
          <cell r="F1067">
            <v>5.0999999999999997E-2</v>
          </cell>
        </row>
        <row r="1068">
          <cell r="E1068">
            <v>43.116</v>
          </cell>
          <cell r="F1068">
            <v>0.122</v>
          </cell>
        </row>
        <row r="1069">
          <cell r="E1069">
            <v>43.162999999999997</v>
          </cell>
          <cell r="F1069">
            <v>0.13600000000000001</v>
          </cell>
        </row>
        <row r="1070">
          <cell r="E1070">
            <v>43.173999999999999</v>
          </cell>
          <cell r="F1070">
            <v>0.438</v>
          </cell>
        </row>
        <row r="1071">
          <cell r="E1071">
            <v>43.18</v>
          </cell>
          <cell r="F1071">
            <v>0.13200000000000001</v>
          </cell>
        </row>
        <row r="1072">
          <cell r="E1072">
            <v>43.18</v>
          </cell>
          <cell r="F1072">
            <v>0.14499999999999999</v>
          </cell>
        </row>
        <row r="1073">
          <cell r="E1073">
            <v>43.18</v>
          </cell>
          <cell r="F1073">
            <v>7.6999999999999999E-2</v>
          </cell>
        </row>
        <row r="1075">
          <cell r="E1075">
            <v>43.182000000000002</v>
          </cell>
          <cell r="F1075">
            <v>0.27500000000000002</v>
          </cell>
        </row>
        <row r="1076">
          <cell r="E1076">
            <v>43.198999999999998</v>
          </cell>
          <cell r="F1076">
            <v>0.13100000000000001</v>
          </cell>
        </row>
        <row r="1077">
          <cell r="E1077">
            <v>43.201000000000001</v>
          </cell>
          <cell r="F1077">
            <v>0.15</v>
          </cell>
        </row>
        <row r="1078">
          <cell r="E1078">
            <v>43.256</v>
          </cell>
          <cell r="F1078">
            <v>6.0000000000000001E-3</v>
          </cell>
        </row>
        <row r="1079">
          <cell r="E1079">
            <v>43.256</v>
          </cell>
          <cell r="F1079">
            <v>7.2999999999999995E-2</v>
          </cell>
        </row>
        <row r="1080">
          <cell r="E1080">
            <v>43.265999999999998</v>
          </cell>
          <cell r="F1080">
            <v>5.0999999999999997E-2</v>
          </cell>
        </row>
        <row r="1081">
          <cell r="E1081">
            <v>43.29</v>
          </cell>
          <cell r="F1081">
            <v>7.3999999999999996E-2</v>
          </cell>
        </row>
        <row r="1082">
          <cell r="E1082">
            <v>43.337000000000003</v>
          </cell>
          <cell r="F1082">
            <v>0.41</v>
          </cell>
        </row>
        <row r="1083">
          <cell r="E1083">
            <v>43.371000000000002</v>
          </cell>
          <cell r="F1083">
            <v>0.11600000000000001</v>
          </cell>
        </row>
        <row r="1084">
          <cell r="E1084">
            <v>43.4</v>
          </cell>
          <cell r="F1084">
            <v>0.311</v>
          </cell>
        </row>
        <row r="1085">
          <cell r="E1085">
            <v>43.4</v>
          </cell>
          <cell r="F1085">
            <v>7.0000000000000007E-2</v>
          </cell>
        </row>
        <row r="1086">
          <cell r="E1086">
            <v>43.4</v>
          </cell>
          <cell r="F1086">
            <v>0.123</v>
          </cell>
        </row>
        <row r="1087">
          <cell r="E1087">
            <v>43.41</v>
          </cell>
          <cell r="F1087">
            <v>0.159</v>
          </cell>
        </row>
        <row r="1088">
          <cell r="E1088">
            <v>43.426000000000002</v>
          </cell>
          <cell r="F1088">
            <v>0.152</v>
          </cell>
        </row>
        <row r="1089">
          <cell r="E1089">
            <v>43.466999999999999</v>
          </cell>
          <cell r="F1089">
            <v>0.13500000000000001</v>
          </cell>
        </row>
        <row r="1090">
          <cell r="E1090">
            <v>43.48</v>
          </cell>
          <cell r="F1090">
            <v>0.14000000000000001</v>
          </cell>
        </row>
        <row r="1091">
          <cell r="E1091">
            <v>43.484999999999999</v>
          </cell>
          <cell r="F1091">
            <v>0.191</v>
          </cell>
        </row>
        <row r="1092">
          <cell r="E1092">
            <v>43.5</v>
          </cell>
          <cell r="F1092">
            <v>2.5999999999999999E-2</v>
          </cell>
        </row>
        <row r="1093">
          <cell r="E1093">
            <v>43.506</v>
          </cell>
          <cell r="F1093">
            <v>0.122</v>
          </cell>
        </row>
        <row r="1094">
          <cell r="E1094">
            <v>43.509</v>
          </cell>
          <cell r="F1094">
            <v>0.253</v>
          </cell>
        </row>
        <row r="1095">
          <cell r="E1095">
            <v>43.518999999999998</v>
          </cell>
          <cell r="F1095">
            <v>8.9999999999999993E-3</v>
          </cell>
        </row>
        <row r="1096">
          <cell r="E1096">
            <v>43.555</v>
          </cell>
          <cell r="F1096">
            <v>8.5999999999999993E-2</v>
          </cell>
        </row>
        <row r="1097">
          <cell r="F1097">
            <v>0.47</v>
          </cell>
        </row>
        <row r="1098">
          <cell r="E1098">
            <v>43.576000000000001</v>
          </cell>
          <cell r="F1098">
            <v>0.219</v>
          </cell>
        </row>
        <row r="1099">
          <cell r="E1099">
            <v>43.581000000000003</v>
          </cell>
          <cell r="F1099">
            <v>0.20899999999999999</v>
          </cell>
        </row>
        <row r="1100">
          <cell r="E1100">
            <v>43.62</v>
          </cell>
          <cell r="F1100">
            <v>0.21299999999999999</v>
          </cell>
        </row>
        <row r="1101">
          <cell r="E1101">
            <v>43.627000000000002</v>
          </cell>
          <cell r="F1101">
            <v>0.14199999999999999</v>
          </cell>
        </row>
        <row r="1102">
          <cell r="E1102">
            <v>43.64</v>
          </cell>
          <cell r="F1102">
            <v>5.0999999999999997E-2</v>
          </cell>
        </row>
        <row r="1103">
          <cell r="E1103">
            <v>43.640999999999998</v>
          </cell>
          <cell r="F1103">
            <v>0.42199999999999999</v>
          </cell>
        </row>
        <row r="1104">
          <cell r="E1104">
            <v>43.65</v>
          </cell>
          <cell r="F1104">
            <v>6.3E-2</v>
          </cell>
        </row>
        <row r="1105">
          <cell r="E1105">
            <v>43.68</v>
          </cell>
          <cell r="F1105">
            <v>0.13500000000000001</v>
          </cell>
        </row>
        <row r="1106">
          <cell r="E1106">
            <v>43.69</v>
          </cell>
          <cell r="F1106">
            <v>0.105</v>
          </cell>
        </row>
        <row r="1107">
          <cell r="E1107">
            <v>43.694000000000003</v>
          </cell>
          <cell r="F1107">
            <v>4.1000000000000002E-2</v>
          </cell>
          <cell r="AB1107" t="str">
            <v>Quaoar 🝾</v>
          </cell>
        </row>
        <row r="1108">
          <cell r="F1108">
            <v>5.6000000000000001E-2</v>
          </cell>
        </row>
        <row r="1109">
          <cell r="E1109">
            <v>43.695</v>
          </cell>
          <cell r="F1109">
            <v>7.3999999999999996E-2</v>
          </cell>
        </row>
        <row r="1110">
          <cell r="E1110">
            <v>43.697000000000003</v>
          </cell>
          <cell r="F1110">
            <v>8.4000000000000005E-2</v>
          </cell>
        </row>
        <row r="1111">
          <cell r="F1111">
            <v>0.41799999999999998</v>
          </cell>
        </row>
        <row r="1112">
          <cell r="E1112">
            <v>43.713000000000001</v>
          </cell>
          <cell r="F1112">
            <v>0.113</v>
          </cell>
        </row>
        <row r="1113">
          <cell r="F1113">
            <v>0.56299999999999994</v>
          </cell>
        </row>
        <row r="1114">
          <cell r="E1114">
            <v>43.725000000000001</v>
          </cell>
          <cell r="F1114">
            <v>0.13700000000000001</v>
          </cell>
        </row>
        <row r="1115">
          <cell r="E1115">
            <v>43.744999999999997</v>
          </cell>
          <cell r="F1115">
            <v>0.11799999999999999</v>
          </cell>
        </row>
        <row r="1116">
          <cell r="E1116">
            <v>43.774999999999999</v>
          </cell>
          <cell r="F1116">
            <v>0.14499999999999999</v>
          </cell>
        </row>
        <row r="1117">
          <cell r="E1117">
            <v>43.79</v>
          </cell>
          <cell r="F1117">
            <v>0.17599999999999999</v>
          </cell>
        </row>
        <row r="1118">
          <cell r="E1118">
            <v>43.832000000000001</v>
          </cell>
          <cell r="F1118">
            <v>0.14099999999999999</v>
          </cell>
        </row>
        <row r="1119">
          <cell r="E1119">
            <v>43.84</v>
          </cell>
          <cell r="F1119">
            <v>0.22600000000000001</v>
          </cell>
        </row>
        <row r="1120">
          <cell r="E1120">
            <v>43.844000000000001</v>
          </cell>
          <cell r="F1120">
            <v>0.127</v>
          </cell>
        </row>
        <row r="1121">
          <cell r="E1121">
            <v>43.844999999999999</v>
          </cell>
          <cell r="F1121">
            <v>3.2000000000000001E-2</v>
          </cell>
        </row>
        <row r="1122">
          <cell r="F1122">
            <v>0.249</v>
          </cell>
        </row>
        <row r="1123">
          <cell r="E1123">
            <v>43.85</v>
          </cell>
          <cell r="F1123">
            <v>0.113</v>
          </cell>
        </row>
        <row r="1124">
          <cell r="E1124">
            <v>43.856999999999999</v>
          </cell>
          <cell r="F1124">
            <v>0.58099999999999996</v>
          </cell>
        </row>
        <row r="1125">
          <cell r="E1125">
            <v>43.860999999999997</v>
          </cell>
          <cell r="F1125">
            <v>8.6999999999999994E-2</v>
          </cell>
        </row>
        <row r="1126">
          <cell r="E1126">
            <v>43.863999999999997</v>
          </cell>
          <cell r="F1126">
            <v>0.17599999999999999</v>
          </cell>
        </row>
        <row r="1127">
          <cell r="E1127">
            <v>43.874000000000002</v>
          </cell>
          <cell r="F1127">
            <v>5.5E-2</v>
          </cell>
        </row>
        <row r="1128">
          <cell r="E1128">
            <v>43.893999999999998</v>
          </cell>
          <cell r="F1128">
            <v>3.5000000000000003E-2</v>
          </cell>
        </row>
        <row r="1129">
          <cell r="E1129">
            <v>43.896000000000001</v>
          </cell>
          <cell r="F1129">
            <v>0.15</v>
          </cell>
        </row>
        <row r="1130">
          <cell r="E1130">
            <v>43.905999999999999</v>
          </cell>
          <cell r="F1130">
            <v>8.7999999999999995E-2</v>
          </cell>
        </row>
        <row r="1131">
          <cell r="E1131">
            <v>43.91</v>
          </cell>
          <cell r="F1131">
            <v>0.20699999999999999</v>
          </cell>
        </row>
        <row r="1132">
          <cell r="E1132">
            <v>43.924999999999997</v>
          </cell>
          <cell r="F1132">
            <v>7.0999999999999994E-2</v>
          </cell>
        </row>
        <row r="1133">
          <cell r="E1133">
            <v>43.95</v>
          </cell>
          <cell r="F1133">
            <v>0.182</v>
          </cell>
        </row>
        <row r="1134">
          <cell r="E1134">
            <v>43.951000000000001</v>
          </cell>
          <cell r="F1134">
            <v>0.17699999999999999</v>
          </cell>
        </row>
        <row r="1135">
          <cell r="E1135">
            <v>43.98</v>
          </cell>
          <cell r="F1135">
            <v>1.7000000000000001E-2</v>
          </cell>
        </row>
        <row r="1136">
          <cell r="E1136">
            <v>44</v>
          </cell>
          <cell r="F1136">
            <v>0.187</v>
          </cell>
        </row>
        <row r="1137">
          <cell r="E1137">
            <v>44</v>
          </cell>
          <cell r="F1137">
            <v>0.155</v>
          </cell>
        </row>
        <row r="1138">
          <cell r="E1138">
            <v>44.015000000000001</v>
          </cell>
          <cell r="F1138">
            <v>7.5999999999999998E-2</v>
          </cell>
        </row>
        <row r="1139">
          <cell r="E1139">
            <v>44.02</v>
          </cell>
          <cell r="F1139">
            <v>0.151</v>
          </cell>
        </row>
        <row r="1140">
          <cell r="E1140">
            <v>44.05</v>
          </cell>
          <cell r="F1140">
            <v>0.193</v>
          </cell>
        </row>
        <row r="1142">
          <cell r="E1142">
            <v>44.055999999999997</v>
          </cell>
          <cell r="F1142">
            <v>8.8999999999999996E-2</v>
          </cell>
        </row>
        <row r="1143">
          <cell r="E1143">
            <v>44.06</v>
          </cell>
          <cell r="F1143">
            <v>4.5999999999999999E-2</v>
          </cell>
        </row>
        <row r="1144">
          <cell r="E1144">
            <v>44.061</v>
          </cell>
          <cell r="F1144">
            <v>0.124</v>
          </cell>
        </row>
        <row r="1145">
          <cell r="E1145">
            <v>44.088000000000001</v>
          </cell>
          <cell r="F1145">
            <v>0.108</v>
          </cell>
        </row>
        <row r="1146">
          <cell r="E1146">
            <v>44.116</v>
          </cell>
          <cell r="F1146">
            <v>1.7000000000000001E-2</v>
          </cell>
        </row>
        <row r="1147">
          <cell r="F1147">
            <v>0.02</v>
          </cell>
        </row>
        <row r="1148">
          <cell r="E1148">
            <v>44.14</v>
          </cell>
          <cell r="F1148">
            <v>0.17399999999999999</v>
          </cell>
        </row>
        <row r="1149">
          <cell r="E1149">
            <v>44.156999999999996</v>
          </cell>
          <cell r="F1149">
            <v>0.17399999999999999</v>
          </cell>
        </row>
        <row r="1150">
          <cell r="E1150">
            <v>44.16</v>
          </cell>
          <cell r="F1150">
            <v>0.84599999999999997</v>
          </cell>
        </row>
        <row r="1152">
          <cell r="E1152">
            <v>44.19</v>
          </cell>
          <cell r="F1152">
            <v>4.8000000000000001E-2</v>
          </cell>
        </row>
        <row r="1153">
          <cell r="E1153">
            <v>44.192</v>
          </cell>
          <cell r="F1153">
            <v>6.8000000000000005E-2</v>
          </cell>
        </row>
        <row r="1154">
          <cell r="E1154">
            <v>44.223999999999997</v>
          </cell>
          <cell r="F1154">
            <v>0.06</v>
          </cell>
        </row>
        <row r="1155">
          <cell r="F1155">
            <v>0.34499999999999997</v>
          </cell>
        </row>
        <row r="1156">
          <cell r="E1156">
            <v>44.265999999999998</v>
          </cell>
          <cell r="F1156">
            <v>5.3999999999999999E-2</v>
          </cell>
        </row>
        <row r="1158">
          <cell r="E1158">
            <v>44.29</v>
          </cell>
          <cell r="F1158">
            <v>0.11</v>
          </cell>
        </row>
        <row r="1159">
          <cell r="E1159">
            <v>44.3</v>
          </cell>
          <cell r="F1159">
            <v>0.10299999999999999</v>
          </cell>
        </row>
        <row r="1160">
          <cell r="E1160">
            <v>44.302999999999997</v>
          </cell>
          <cell r="F1160">
            <v>0.11</v>
          </cell>
        </row>
        <row r="1161">
          <cell r="E1161">
            <v>44.31</v>
          </cell>
          <cell r="F1161">
            <v>0.17399999999999999</v>
          </cell>
        </row>
        <row r="1162">
          <cell r="E1162">
            <v>44.317</v>
          </cell>
          <cell r="F1162">
            <v>8.4000000000000005E-2</v>
          </cell>
        </row>
        <row r="1163">
          <cell r="E1163">
            <v>44.35</v>
          </cell>
          <cell r="F1163">
            <v>6.7000000000000004E-2</v>
          </cell>
        </row>
        <row r="1164">
          <cell r="E1164">
            <v>44.357999999999997</v>
          </cell>
          <cell r="F1164">
            <v>8.2000000000000003E-2</v>
          </cell>
        </row>
        <row r="1165">
          <cell r="E1165">
            <v>44.395000000000003</v>
          </cell>
          <cell r="F1165">
            <v>6.7000000000000004E-2</v>
          </cell>
        </row>
        <row r="1166">
          <cell r="E1166">
            <v>44.476999999999997</v>
          </cell>
          <cell r="F1166">
            <v>9.0999999999999998E-2</v>
          </cell>
        </row>
        <row r="1167">
          <cell r="E1167">
            <v>44.5</v>
          </cell>
          <cell r="F1167">
            <v>9.7000000000000003E-2</v>
          </cell>
        </row>
        <row r="1168">
          <cell r="E1168">
            <v>44.548000000000002</v>
          </cell>
          <cell r="F1168">
            <v>0.14399999999999999</v>
          </cell>
        </row>
        <row r="1169">
          <cell r="E1169">
            <v>44.567999999999998</v>
          </cell>
          <cell r="F1169">
            <v>0.13800000000000001</v>
          </cell>
        </row>
        <row r="1170">
          <cell r="E1170">
            <v>44.57</v>
          </cell>
          <cell r="F1170">
            <v>0.13500000000000001</v>
          </cell>
        </row>
        <row r="1171">
          <cell r="E1171">
            <v>44.581000000000003</v>
          </cell>
          <cell r="F1171">
            <v>4.2000000000000003E-2</v>
          </cell>
        </row>
        <row r="1172">
          <cell r="E1172">
            <v>44.6</v>
          </cell>
          <cell r="F1172">
            <v>0.14000000000000001</v>
          </cell>
        </row>
        <row r="1173">
          <cell r="E1173">
            <v>44.63</v>
          </cell>
          <cell r="F1173">
            <v>0.06</v>
          </cell>
        </row>
        <row r="1174">
          <cell r="E1174">
            <v>44.631999999999998</v>
          </cell>
          <cell r="F1174">
            <v>4.2000000000000003E-2</v>
          </cell>
        </row>
        <row r="1175">
          <cell r="E1175">
            <v>44.710999999999999</v>
          </cell>
          <cell r="F1175">
            <v>8.7999999999999995E-2</v>
          </cell>
        </row>
        <row r="1176">
          <cell r="E1176">
            <v>44.713999999999999</v>
          </cell>
          <cell r="F1176">
            <v>8.6999999999999994E-2</v>
          </cell>
        </row>
        <row r="1177">
          <cell r="E1177">
            <v>44.72</v>
          </cell>
          <cell r="F1177">
            <v>0.15</v>
          </cell>
        </row>
        <row r="1178">
          <cell r="E1178">
            <v>44.741</v>
          </cell>
          <cell r="F1178">
            <v>0.128</v>
          </cell>
        </row>
        <row r="1179">
          <cell r="E1179">
            <v>44.787999999999997</v>
          </cell>
          <cell r="F1179">
            <v>1.2E-2</v>
          </cell>
        </row>
        <row r="1180">
          <cell r="E1180">
            <v>44.79</v>
          </cell>
          <cell r="F1180">
            <v>0.24099999999999999</v>
          </cell>
        </row>
        <row r="1181">
          <cell r="E1181">
            <v>44.801000000000002</v>
          </cell>
          <cell r="F1181">
            <v>9.5000000000000001E-2</v>
          </cell>
        </row>
        <row r="1182">
          <cell r="E1182">
            <v>44.84</v>
          </cell>
          <cell r="F1182">
            <v>0.106</v>
          </cell>
        </row>
        <row r="1183">
          <cell r="E1183">
            <v>44.884999999999998</v>
          </cell>
          <cell r="F1183">
            <v>6.6000000000000003E-2</v>
          </cell>
        </row>
        <row r="1185">
          <cell r="E1185">
            <v>44.96</v>
          </cell>
          <cell r="F1185">
            <v>0.109</v>
          </cell>
        </row>
        <row r="1186">
          <cell r="E1186">
            <v>44.991999999999997</v>
          </cell>
          <cell r="F1186">
            <v>3.3000000000000002E-2</v>
          </cell>
        </row>
        <row r="1187">
          <cell r="E1187">
            <v>45.006</v>
          </cell>
          <cell r="F1187">
            <v>0.373</v>
          </cell>
        </row>
        <row r="1188">
          <cell r="E1188">
            <v>45.06</v>
          </cell>
          <cell r="F1188">
            <v>0.14000000000000001</v>
          </cell>
        </row>
        <row r="1189">
          <cell r="E1189">
            <v>45.093000000000004</v>
          </cell>
          <cell r="F1189">
            <v>0.09</v>
          </cell>
        </row>
        <row r="1190">
          <cell r="E1190">
            <v>45.11</v>
          </cell>
          <cell r="F1190">
            <v>0.14000000000000001</v>
          </cell>
        </row>
        <row r="1191">
          <cell r="E1191">
            <v>45.14</v>
          </cell>
          <cell r="F1191">
            <v>8.5000000000000006E-2</v>
          </cell>
        </row>
        <row r="1192">
          <cell r="E1192">
            <v>45.14</v>
          </cell>
          <cell r="F1192">
            <v>0.216</v>
          </cell>
        </row>
        <row r="1193">
          <cell r="E1193">
            <v>45.14</v>
          </cell>
          <cell r="F1193">
            <v>0.18</v>
          </cell>
        </row>
        <row r="1194">
          <cell r="E1194">
            <v>45.15</v>
          </cell>
          <cell r="F1194">
            <v>0.19700000000000001</v>
          </cell>
        </row>
        <row r="1195">
          <cell r="E1195">
            <v>45.174999999999997</v>
          </cell>
          <cell r="F1195">
            <v>0.16600000000000001</v>
          </cell>
        </row>
        <row r="1196">
          <cell r="E1196">
            <v>45.2</v>
          </cell>
          <cell r="F1196">
            <v>8.8999999999999996E-2</v>
          </cell>
        </row>
        <row r="1197">
          <cell r="E1197">
            <v>45.23</v>
          </cell>
          <cell r="F1197">
            <v>0.13500000000000001</v>
          </cell>
        </row>
        <row r="1198">
          <cell r="E1198">
            <v>45.25</v>
          </cell>
          <cell r="F1198">
            <v>0.107</v>
          </cell>
        </row>
        <row r="1199">
          <cell r="E1199">
            <v>45.31</v>
          </cell>
          <cell r="F1199">
            <v>5.5E-2</v>
          </cell>
        </row>
        <row r="1200">
          <cell r="E1200">
            <v>45.319000000000003</v>
          </cell>
          <cell r="F1200">
            <v>0.16200000000000001</v>
          </cell>
        </row>
        <row r="1201">
          <cell r="E1201">
            <v>45.338999999999999</v>
          </cell>
          <cell r="F1201">
            <v>0.122</v>
          </cell>
        </row>
        <row r="1202">
          <cell r="E1202">
            <v>45.35</v>
          </cell>
          <cell r="F1202">
            <v>0.16400000000000001</v>
          </cell>
        </row>
        <row r="1203">
          <cell r="E1203">
            <v>45.359000000000002</v>
          </cell>
          <cell r="F1203">
            <v>7.5999999999999998E-2</v>
          </cell>
        </row>
        <row r="1204">
          <cell r="E1204">
            <v>45.395000000000003</v>
          </cell>
          <cell r="F1204">
            <v>5.3999999999999999E-2</v>
          </cell>
        </row>
        <row r="1205">
          <cell r="E1205">
            <v>45.43</v>
          </cell>
          <cell r="F1205">
            <v>0.161</v>
          </cell>
          <cell r="AB1205" t="str">
            <v>Makemake 🝼</v>
          </cell>
        </row>
        <row r="1207">
          <cell r="E1207">
            <v>45.482999999999997</v>
          </cell>
          <cell r="F1207">
            <v>0.13300000000000001</v>
          </cell>
        </row>
        <row r="1208">
          <cell r="E1208">
            <v>45.503999999999998</v>
          </cell>
          <cell r="F1208">
            <v>0.17399999999999999</v>
          </cell>
        </row>
        <row r="1209">
          <cell r="E1209">
            <v>45.53</v>
          </cell>
          <cell r="F1209">
            <v>0.185</v>
          </cell>
        </row>
        <row r="1210">
          <cell r="E1210">
            <v>45.536000000000001</v>
          </cell>
          <cell r="F1210">
            <v>9.0999999999999998E-2</v>
          </cell>
        </row>
        <row r="1211">
          <cell r="E1211">
            <v>45.548999999999999</v>
          </cell>
          <cell r="F1211">
            <v>0.123</v>
          </cell>
        </row>
        <row r="1212">
          <cell r="F1212">
            <v>0.54600000000000004</v>
          </cell>
        </row>
        <row r="1213">
          <cell r="E1213">
            <v>45.56</v>
          </cell>
          <cell r="F1213">
            <v>0.24199999999999999</v>
          </cell>
        </row>
        <row r="1214">
          <cell r="E1214">
            <v>45.578000000000003</v>
          </cell>
          <cell r="F1214">
            <v>0.33</v>
          </cell>
        </row>
        <row r="1215">
          <cell r="E1215">
            <v>45.59</v>
          </cell>
          <cell r="F1215">
            <v>0.34</v>
          </cell>
        </row>
        <row r="1216">
          <cell r="E1216">
            <v>45.595999999999997</v>
          </cell>
          <cell r="F1216">
            <v>8.6999999999999994E-2</v>
          </cell>
        </row>
        <row r="1217">
          <cell r="E1217">
            <v>45.67</v>
          </cell>
          <cell r="F1217">
            <v>7.1999999999999995E-2</v>
          </cell>
        </row>
        <row r="1218">
          <cell r="E1218">
            <v>45.722999999999999</v>
          </cell>
          <cell r="F1218">
            <v>6.5000000000000002E-2</v>
          </cell>
        </row>
        <row r="1219">
          <cell r="E1219">
            <v>45.734999999999999</v>
          </cell>
          <cell r="F1219">
            <v>0.183</v>
          </cell>
        </row>
        <row r="1220">
          <cell r="E1220">
            <v>45.759</v>
          </cell>
          <cell r="F1220">
            <v>0.14399999999999999</v>
          </cell>
        </row>
        <row r="1221">
          <cell r="E1221">
            <v>45.77</v>
          </cell>
          <cell r="F1221">
            <v>0.08</v>
          </cell>
        </row>
        <row r="1222">
          <cell r="E1222">
            <v>45.795999999999999</v>
          </cell>
          <cell r="F1222">
            <v>0.106</v>
          </cell>
        </row>
        <row r="1223">
          <cell r="E1223">
            <v>45.8</v>
          </cell>
          <cell r="F1223">
            <v>0.14299999999999999</v>
          </cell>
        </row>
        <row r="1224">
          <cell r="E1224">
            <v>45.86</v>
          </cell>
          <cell r="F1224">
            <v>0.129</v>
          </cell>
        </row>
        <row r="1225">
          <cell r="E1225">
            <v>45.921999999999997</v>
          </cell>
          <cell r="F1225">
            <v>6.3E-2</v>
          </cell>
        </row>
        <row r="1226">
          <cell r="E1226">
            <v>45.944000000000003</v>
          </cell>
          <cell r="F1226">
            <v>0.16900000000000001</v>
          </cell>
        </row>
        <row r="1227">
          <cell r="E1227">
            <v>45.994</v>
          </cell>
          <cell r="F1227">
            <v>0.11</v>
          </cell>
        </row>
        <row r="1228">
          <cell r="E1228">
            <v>46.000999999999998</v>
          </cell>
          <cell r="F1228">
            <v>8.2000000000000003E-2</v>
          </cell>
        </row>
        <row r="1229">
          <cell r="E1229">
            <v>46.024000000000001</v>
          </cell>
          <cell r="F1229">
            <v>0.185</v>
          </cell>
        </row>
        <row r="1230">
          <cell r="E1230">
            <v>46.094999999999999</v>
          </cell>
          <cell r="F1230">
            <v>0.122</v>
          </cell>
        </row>
        <row r="1231">
          <cell r="E1231">
            <v>46.11</v>
          </cell>
          <cell r="F1231">
            <v>0.14299999999999999</v>
          </cell>
        </row>
        <row r="1232">
          <cell r="F1232">
            <v>1.7999999999999999E-2</v>
          </cell>
        </row>
        <row r="1233">
          <cell r="E1233">
            <v>46.128</v>
          </cell>
          <cell r="F1233">
            <v>0.14000000000000001</v>
          </cell>
        </row>
        <row r="1234">
          <cell r="E1234">
            <v>46.13</v>
          </cell>
          <cell r="F1234">
            <v>0.17</v>
          </cell>
        </row>
        <row r="1235">
          <cell r="E1235">
            <v>46.13</v>
          </cell>
          <cell r="F1235">
            <v>0.121</v>
          </cell>
        </row>
        <row r="1237">
          <cell r="E1237">
            <v>46.133000000000003</v>
          </cell>
          <cell r="F1237">
            <v>0.46700000000000003</v>
          </cell>
        </row>
        <row r="1238">
          <cell r="E1238">
            <v>46.14</v>
          </cell>
          <cell r="F1238">
            <v>0.125</v>
          </cell>
        </row>
        <row r="1239">
          <cell r="E1239">
            <v>46.164000000000001</v>
          </cell>
          <cell r="F1239">
            <v>0.16200000000000001</v>
          </cell>
        </row>
        <row r="1240">
          <cell r="E1240">
            <v>46.232999999999997</v>
          </cell>
          <cell r="F1240">
            <v>0.109</v>
          </cell>
        </row>
        <row r="1241">
          <cell r="E1241">
            <v>46.24</v>
          </cell>
          <cell r="F1241">
            <v>7.1999999999999995E-2</v>
          </cell>
        </row>
        <row r="1242">
          <cell r="E1242">
            <v>46.243000000000002</v>
          </cell>
          <cell r="F1242">
            <v>0.14799999999999999</v>
          </cell>
        </row>
        <row r="1243">
          <cell r="E1243">
            <v>46.26</v>
          </cell>
          <cell r="F1243">
            <v>0.187</v>
          </cell>
        </row>
        <row r="1244">
          <cell r="E1244">
            <v>46.264000000000003</v>
          </cell>
          <cell r="F1244">
            <v>0.187</v>
          </cell>
        </row>
        <row r="1245">
          <cell r="E1245">
            <v>46.3</v>
          </cell>
          <cell r="F1245">
            <v>0.13400000000000001</v>
          </cell>
        </row>
        <row r="1246">
          <cell r="E1246">
            <v>46.326999999999998</v>
          </cell>
          <cell r="F1246">
            <v>0</v>
          </cell>
        </row>
        <row r="1247">
          <cell r="E1247">
            <v>46.390999999999998</v>
          </cell>
          <cell r="F1247">
            <v>0.12</v>
          </cell>
        </row>
        <row r="1248">
          <cell r="E1248">
            <v>46.415999999999997</v>
          </cell>
          <cell r="F1248">
            <v>0.104</v>
          </cell>
        </row>
        <row r="1249">
          <cell r="E1249">
            <v>46.448</v>
          </cell>
          <cell r="F1249">
            <v>0.19900000000000001</v>
          </cell>
        </row>
        <row r="1250">
          <cell r="E1250">
            <v>46.47</v>
          </cell>
          <cell r="F1250">
            <v>0.28699999999999998</v>
          </cell>
        </row>
        <row r="1251">
          <cell r="E1251">
            <v>46.48</v>
          </cell>
          <cell r="F1251">
            <v>0.127</v>
          </cell>
        </row>
        <row r="1252">
          <cell r="E1252">
            <v>46.49</v>
          </cell>
          <cell r="F1252">
            <v>0.1</v>
          </cell>
        </row>
        <row r="1253">
          <cell r="E1253">
            <v>46.5</v>
          </cell>
          <cell r="F1253">
            <v>3.9E-2</v>
          </cell>
        </row>
        <row r="1254">
          <cell r="E1254">
            <v>46.530999999999999</v>
          </cell>
          <cell r="F1254">
            <v>0.17399999999999999</v>
          </cell>
        </row>
        <row r="1255">
          <cell r="E1255">
            <v>46.533999999999999</v>
          </cell>
          <cell r="F1255">
            <v>0.112</v>
          </cell>
        </row>
        <row r="1256">
          <cell r="E1256">
            <v>46.6</v>
          </cell>
          <cell r="F1256">
            <v>0.25600000000000001</v>
          </cell>
        </row>
        <row r="1257">
          <cell r="E1257">
            <v>46.209000000000003</v>
          </cell>
          <cell r="F1257">
            <v>0.16500000000000001</v>
          </cell>
        </row>
        <row r="1258">
          <cell r="E1258">
            <v>46.494</v>
          </cell>
          <cell r="F1258">
            <v>0.124</v>
          </cell>
        </row>
        <row r="1259">
          <cell r="E1259">
            <v>46.628999999999998</v>
          </cell>
          <cell r="F1259">
            <v>0.249</v>
          </cell>
        </row>
        <row r="1260">
          <cell r="E1260">
            <v>46.637999999999998</v>
          </cell>
          <cell r="F1260">
            <v>0.184</v>
          </cell>
        </row>
        <row r="1261">
          <cell r="E1261">
            <v>46.65</v>
          </cell>
          <cell r="F1261">
            <v>0.20200000000000001</v>
          </cell>
        </row>
        <row r="1262">
          <cell r="E1262">
            <v>46.654000000000003</v>
          </cell>
          <cell r="F1262">
            <v>0.187</v>
          </cell>
        </row>
        <row r="1263">
          <cell r="E1263">
            <v>46.671999999999997</v>
          </cell>
          <cell r="F1263">
            <v>0.29699999999999999</v>
          </cell>
        </row>
        <row r="1264">
          <cell r="E1264">
            <v>46.683</v>
          </cell>
          <cell r="F1264">
            <v>0.182</v>
          </cell>
        </row>
        <row r="1265">
          <cell r="E1265">
            <v>46.69</v>
          </cell>
          <cell r="F1265">
            <v>5.3999999999999999E-2</v>
          </cell>
        </row>
        <row r="1266">
          <cell r="E1266">
            <v>46.698</v>
          </cell>
          <cell r="F1266">
            <v>0.14699999999999999</v>
          </cell>
        </row>
        <row r="1267">
          <cell r="E1267">
            <v>46.712000000000003</v>
          </cell>
          <cell r="F1267">
            <v>3.0000000000000001E-3</v>
          </cell>
        </row>
        <row r="1268">
          <cell r="E1268">
            <v>46.719000000000001</v>
          </cell>
          <cell r="F1268">
            <v>0.121</v>
          </cell>
        </row>
        <row r="1269">
          <cell r="E1269">
            <v>46.764000000000003</v>
          </cell>
          <cell r="F1269">
            <v>0.15</v>
          </cell>
        </row>
        <row r="1270">
          <cell r="E1270">
            <v>46.774000000000001</v>
          </cell>
          <cell r="F1270">
            <v>0.219</v>
          </cell>
        </row>
        <row r="1271">
          <cell r="E1271">
            <v>46.784999999999997</v>
          </cell>
          <cell r="F1271">
            <v>0.159</v>
          </cell>
        </row>
        <row r="1272">
          <cell r="E1272">
            <v>46.802999999999997</v>
          </cell>
          <cell r="F1272">
            <v>0.11899999999999999</v>
          </cell>
        </row>
        <row r="1273">
          <cell r="E1273">
            <v>46.857999999999997</v>
          </cell>
          <cell r="F1273">
            <v>0.17</v>
          </cell>
        </row>
        <row r="1274">
          <cell r="E1274">
            <v>46.878</v>
          </cell>
          <cell r="F1274">
            <v>0.158</v>
          </cell>
        </row>
        <row r="1275">
          <cell r="E1275">
            <v>46.88</v>
          </cell>
          <cell r="F1275">
            <v>0.187</v>
          </cell>
        </row>
        <row r="1276">
          <cell r="E1276">
            <v>46.95</v>
          </cell>
          <cell r="F1276">
            <v>0.18</v>
          </cell>
        </row>
        <row r="1277">
          <cell r="E1277">
            <v>47</v>
          </cell>
          <cell r="F1277">
            <v>0.22800000000000001</v>
          </cell>
        </row>
        <row r="1278">
          <cell r="E1278">
            <v>47.018999999999998</v>
          </cell>
          <cell r="F1278">
            <v>0.14000000000000001</v>
          </cell>
        </row>
        <row r="1279">
          <cell r="E1279">
            <v>47.042000000000002</v>
          </cell>
          <cell r="F1279">
            <v>0.13</v>
          </cell>
        </row>
        <row r="1280">
          <cell r="E1280">
            <v>47.1</v>
          </cell>
          <cell r="F1280">
            <v>0.54500000000000004</v>
          </cell>
        </row>
        <row r="1281">
          <cell r="E1281">
            <v>47.134999999999998</v>
          </cell>
          <cell r="F1281">
            <v>6.4000000000000001E-2</v>
          </cell>
        </row>
        <row r="1282">
          <cell r="E1282">
            <v>47.143999999999998</v>
          </cell>
          <cell r="F1282">
            <v>0.13200000000000001</v>
          </cell>
        </row>
        <row r="1283">
          <cell r="E1283">
            <v>47.177</v>
          </cell>
          <cell r="F1283">
            <v>0.152</v>
          </cell>
        </row>
        <row r="1284">
          <cell r="E1284">
            <v>47.213999999999999</v>
          </cell>
          <cell r="F1284">
            <v>0.14599999999999999</v>
          </cell>
        </row>
        <row r="1285">
          <cell r="E1285">
            <v>47.216000000000001</v>
          </cell>
          <cell r="F1285">
            <v>0.58499999999999996</v>
          </cell>
        </row>
        <row r="1286">
          <cell r="E1286">
            <v>47.216000000000001</v>
          </cell>
          <cell r="F1286">
            <v>0.249</v>
          </cell>
        </row>
        <row r="1287">
          <cell r="E1287">
            <v>47.25</v>
          </cell>
          <cell r="F1287">
            <v>0.21</v>
          </cell>
        </row>
        <row r="1288">
          <cell r="E1288">
            <v>47.276000000000003</v>
          </cell>
          <cell r="F1288">
            <v>0.182</v>
          </cell>
        </row>
        <row r="1289">
          <cell r="E1289">
            <v>47.313000000000002</v>
          </cell>
          <cell r="F1289">
            <v>0.14299999999999999</v>
          </cell>
        </row>
        <row r="1290">
          <cell r="E1290">
            <v>47.32</v>
          </cell>
          <cell r="F1290">
            <v>0.193</v>
          </cell>
        </row>
        <row r="1291">
          <cell r="E1291">
            <v>47.34</v>
          </cell>
          <cell r="F1291">
            <v>0.09</v>
          </cell>
        </row>
        <row r="1292">
          <cell r="E1292">
            <v>47.39</v>
          </cell>
          <cell r="F1292">
            <v>0.246</v>
          </cell>
        </row>
        <row r="1293">
          <cell r="E1293">
            <v>47.39</v>
          </cell>
          <cell r="F1293">
            <v>0.252</v>
          </cell>
        </row>
        <row r="1294">
          <cell r="E1294">
            <v>47.41</v>
          </cell>
          <cell r="F1294">
            <v>0.28999999999999998</v>
          </cell>
        </row>
        <row r="1295">
          <cell r="E1295">
            <v>47.417000000000002</v>
          </cell>
          <cell r="F1295">
            <v>0.37</v>
          </cell>
        </row>
        <row r="1297">
          <cell r="E1297">
            <v>47.43</v>
          </cell>
          <cell r="F1297">
            <v>7.0999999999999994E-2</v>
          </cell>
        </row>
        <row r="1298">
          <cell r="E1298">
            <v>47.454000000000001</v>
          </cell>
          <cell r="F1298">
            <v>0.217</v>
          </cell>
        </row>
        <row r="1299">
          <cell r="E1299">
            <v>47.45</v>
          </cell>
          <cell r="F1299">
            <v>6.9000000000000006E-2</v>
          </cell>
        </row>
        <row r="1300">
          <cell r="E1300">
            <v>47.46</v>
          </cell>
          <cell r="F1300">
            <v>0.27800000000000002</v>
          </cell>
        </row>
        <row r="1301">
          <cell r="E1301">
            <v>47.491999999999997</v>
          </cell>
          <cell r="F1301">
            <v>0.21299999999999999</v>
          </cell>
        </row>
        <row r="1302">
          <cell r="E1302">
            <v>47.506999999999998</v>
          </cell>
          <cell r="F1302">
            <v>0.14799999999999999</v>
          </cell>
        </row>
        <row r="1303">
          <cell r="E1303">
            <v>47.529000000000003</v>
          </cell>
          <cell r="F1303">
            <v>0.108</v>
          </cell>
        </row>
        <row r="1304">
          <cell r="E1304">
            <v>47.531999999999996</v>
          </cell>
          <cell r="F1304">
            <v>0.57199999999999995</v>
          </cell>
        </row>
        <row r="1305">
          <cell r="E1305">
            <v>47.57</v>
          </cell>
          <cell r="F1305">
            <v>0.16800000000000001</v>
          </cell>
        </row>
        <row r="1306">
          <cell r="E1306">
            <v>47.613999999999997</v>
          </cell>
          <cell r="F1306">
            <v>3.4000000000000002E-2</v>
          </cell>
        </row>
        <row r="1307">
          <cell r="E1307">
            <v>47.62</v>
          </cell>
          <cell r="F1307">
            <v>0.214</v>
          </cell>
        </row>
        <row r="1309">
          <cell r="E1309">
            <v>47.731000000000002</v>
          </cell>
          <cell r="F1309">
            <v>0.19600000000000001</v>
          </cell>
        </row>
        <row r="1310">
          <cell r="E1310">
            <v>47.646000000000001</v>
          </cell>
          <cell r="F1310">
            <v>0.254</v>
          </cell>
        </row>
        <row r="1311">
          <cell r="E1311">
            <v>47.73</v>
          </cell>
          <cell r="F1311">
            <v>2.4E-2</v>
          </cell>
        </row>
        <row r="1312">
          <cell r="E1312">
            <v>47.758000000000003</v>
          </cell>
          <cell r="F1312">
            <v>0.17899999999999999</v>
          </cell>
        </row>
        <row r="1313">
          <cell r="E1313">
            <v>47.783999999999999</v>
          </cell>
          <cell r="F1313">
            <v>0.22600000000000001</v>
          </cell>
        </row>
        <row r="1314">
          <cell r="E1314">
            <v>47.81</v>
          </cell>
          <cell r="F1314">
            <v>0.187</v>
          </cell>
        </row>
        <row r="1315">
          <cell r="E1315">
            <v>47.82</v>
          </cell>
          <cell r="F1315">
            <v>0.158</v>
          </cell>
        </row>
        <row r="1316">
          <cell r="E1316">
            <v>47.85</v>
          </cell>
          <cell r="F1316">
            <v>0.107</v>
          </cell>
        </row>
        <row r="1317">
          <cell r="E1317">
            <v>47.88</v>
          </cell>
          <cell r="F1317">
            <v>0.309</v>
          </cell>
        </row>
        <row r="1318">
          <cell r="E1318">
            <v>47.87</v>
          </cell>
          <cell r="F1318">
            <v>0.26500000000000001</v>
          </cell>
        </row>
        <row r="1319">
          <cell r="E1319">
            <v>47.975999999999999</v>
          </cell>
          <cell r="F1319">
            <v>6.5000000000000002E-2</v>
          </cell>
        </row>
        <row r="1320">
          <cell r="E1320">
            <v>48</v>
          </cell>
          <cell r="F1320">
            <v>0.33500000000000002</v>
          </cell>
        </row>
        <row r="1321">
          <cell r="E1321">
            <v>48.01</v>
          </cell>
          <cell r="F1321">
            <v>0.26500000000000001</v>
          </cell>
        </row>
        <row r="1322">
          <cell r="F1322">
            <v>0.21</v>
          </cell>
        </row>
        <row r="1323">
          <cell r="E1323">
            <v>48.03</v>
          </cell>
          <cell r="F1323">
            <v>0.16600000000000001</v>
          </cell>
        </row>
        <row r="1324">
          <cell r="E1324">
            <v>48.033000000000001</v>
          </cell>
          <cell r="F1324">
            <v>0.23</v>
          </cell>
        </row>
        <row r="1325">
          <cell r="E1325">
            <v>48.033000000000001</v>
          </cell>
          <cell r="F1325">
            <v>0.4</v>
          </cell>
        </row>
        <row r="1326">
          <cell r="E1326">
            <v>48.078000000000003</v>
          </cell>
          <cell r="F1326">
            <v>0.39500000000000002</v>
          </cell>
        </row>
        <row r="1327">
          <cell r="E1327">
            <v>48.08</v>
          </cell>
          <cell r="F1327">
            <v>0.14499999999999999</v>
          </cell>
        </row>
        <row r="1328">
          <cell r="E1328">
            <v>48.12</v>
          </cell>
          <cell r="F1328">
            <v>0.27600000000000002</v>
          </cell>
        </row>
        <row r="1329">
          <cell r="E1329">
            <v>48.12</v>
          </cell>
          <cell r="F1329">
            <v>7.0999999999999994E-2</v>
          </cell>
        </row>
        <row r="1330">
          <cell r="E1330">
            <v>48.143000000000001</v>
          </cell>
          <cell r="F1330">
            <v>0.21199999999999999</v>
          </cell>
        </row>
        <row r="1331">
          <cell r="E1331">
            <v>48.183</v>
          </cell>
          <cell r="F1331">
            <v>0.22900000000000001</v>
          </cell>
        </row>
        <row r="1332">
          <cell r="E1332">
            <v>48.198</v>
          </cell>
          <cell r="F1332">
            <v>0.23699999999999999</v>
          </cell>
        </row>
        <row r="1333">
          <cell r="E1333">
            <v>48.22</v>
          </cell>
          <cell r="F1333">
            <v>0.25600000000000001</v>
          </cell>
        </row>
        <row r="1335">
          <cell r="E1335">
            <v>48.27</v>
          </cell>
          <cell r="F1335">
            <v>0.27</v>
          </cell>
        </row>
        <row r="1336">
          <cell r="E1336">
            <v>48.32</v>
          </cell>
          <cell r="F1336">
            <v>0.191</v>
          </cell>
        </row>
        <row r="1337">
          <cell r="E1337">
            <v>48.585999999999999</v>
          </cell>
          <cell r="F1337">
            <v>0.46899999999999997</v>
          </cell>
        </row>
        <row r="1338">
          <cell r="E1338">
            <v>48.616</v>
          </cell>
          <cell r="F1338">
            <v>0.26</v>
          </cell>
        </row>
        <row r="1339">
          <cell r="E1339">
            <v>48.725000000000001</v>
          </cell>
          <cell r="F1339">
            <v>0.14399999999999999</v>
          </cell>
        </row>
        <row r="1340">
          <cell r="E1340">
            <v>48.8</v>
          </cell>
          <cell r="F1340">
            <v>0.16800000000000001</v>
          </cell>
        </row>
        <row r="1341">
          <cell r="E1341">
            <v>48.81</v>
          </cell>
          <cell r="F1341">
            <v>0.30299999999999999</v>
          </cell>
        </row>
        <row r="1342">
          <cell r="E1342">
            <v>48.87</v>
          </cell>
          <cell r="F1342">
            <v>0.249</v>
          </cell>
        </row>
        <row r="1343">
          <cell r="E1343">
            <v>49.2</v>
          </cell>
          <cell r="F1343">
            <v>0.54</v>
          </cell>
        </row>
        <row r="1344">
          <cell r="E1344">
            <v>49.32</v>
          </cell>
          <cell r="F1344">
            <v>0.34200000000000003</v>
          </cell>
        </row>
        <row r="1345">
          <cell r="E1345">
            <v>49.49</v>
          </cell>
          <cell r="F1345">
            <v>0.12</v>
          </cell>
        </row>
        <row r="1346">
          <cell r="E1346">
            <v>49.692</v>
          </cell>
          <cell r="F1346">
            <v>0.246</v>
          </cell>
        </row>
        <row r="1347">
          <cell r="E1347">
            <v>49.79</v>
          </cell>
          <cell r="F1347">
            <v>0.22600000000000001</v>
          </cell>
        </row>
        <row r="1348">
          <cell r="E1348">
            <v>49.808999999999997</v>
          </cell>
          <cell r="F1348">
            <v>0.25600000000000001</v>
          </cell>
        </row>
        <row r="1349">
          <cell r="E1349">
            <v>49.84</v>
          </cell>
          <cell r="F1349">
            <v>0.308</v>
          </cell>
        </row>
        <row r="1350">
          <cell r="E1350">
            <v>49.948</v>
          </cell>
          <cell r="F1350">
            <v>0.54700000000000004</v>
          </cell>
        </row>
        <row r="1351">
          <cell r="E1351">
            <v>49.956000000000003</v>
          </cell>
          <cell r="F1351">
            <v>0.246</v>
          </cell>
        </row>
        <row r="1352">
          <cell r="E1352">
            <v>50.137</v>
          </cell>
          <cell r="F1352">
            <v>0.26200000000000001</v>
          </cell>
        </row>
        <row r="1353">
          <cell r="E1353">
            <v>50.161999999999999</v>
          </cell>
          <cell r="F1353">
            <v>0.27500000000000002</v>
          </cell>
        </row>
        <row r="1354">
          <cell r="E1354">
            <v>50.31</v>
          </cell>
          <cell r="F1354">
            <v>0.221</v>
          </cell>
        </row>
        <row r="1355">
          <cell r="E1355">
            <v>50.417000000000002</v>
          </cell>
          <cell r="F1355">
            <v>0.27600000000000002</v>
          </cell>
        </row>
        <row r="1356">
          <cell r="E1356">
            <v>50.417999999999999</v>
          </cell>
          <cell r="F1356">
            <v>0.16300000000000001</v>
          </cell>
        </row>
        <row r="1357">
          <cell r="E1357">
            <v>50.44</v>
          </cell>
          <cell r="F1357">
            <v>0.23899999999999999</v>
          </cell>
        </row>
        <row r="1358">
          <cell r="E1358">
            <v>50.7</v>
          </cell>
          <cell r="F1358">
            <v>0.27900000000000003</v>
          </cell>
        </row>
        <row r="1359">
          <cell r="E1359">
            <v>50.7</v>
          </cell>
          <cell r="F1359">
            <v>0.28299999999999997</v>
          </cell>
        </row>
        <row r="1360">
          <cell r="E1360">
            <v>50.718000000000004</v>
          </cell>
          <cell r="F1360">
            <v>0.247</v>
          </cell>
        </row>
        <row r="1361">
          <cell r="E1361">
            <v>50.838000000000001</v>
          </cell>
          <cell r="F1361">
            <v>0.21099999999999999</v>
          </cell>
        </row>
        <row r="1362">
          <cell r="E1362">
            <v>50.920999999999999</v>
          </cell>
          <cell r="F1362">
            <v>0.32400000000000001</v>
          </cell>
        </row>
        <row r="1363">
          <cell r="E1363">
            <v>51.180999999999997</v>
          </cell>
          <cell r="F1363">
            <v>0.25700000000000001</v>
          </cell>
        </row>
        <row r="1364">
          <cell r="E1364">
            <v>51.3</v>
          </cell>
          <cell r="F1364">
            <v>0.46800000000000003</v>
          </cell>
        </row>
        <row r="1365">
          <cell r="E1365">
            <v>51.313000000000002</v>
          </cell>
          <cell r="F1365">
            <v>0.218</v>
          </cell>
        </row>
        <row r="1366">
          <cell r="E1366">
            <v>51.37</v>
          </cell>
          <cell r="F1366">
            <v>0.22900000000000001</v>
          </cell>
        </row>
        <row r="1367">
          <cell r="E1367">
            <v>51.439</v>
          </cell>
          <cell r="F1367">
            <v>0.23300000000000001</v>
          </cell>
        </row>
        <row r="1368">
          <cell r="E1368">
            <v>51.58</v>
          </cell>
          <cell r="F1368">
            <v>0.34300000000000003</v>
          </cell>
        </row>
        <row r="1369">
          <cell r="E1369">
            <v>51.718000000000004</v>
          </cell>
          <cell r="F1369">
            <v>0.50900000000000001</v>
          </cell>
        </row>
        <row r="1370">
          <cell r="E1370">
            <v>51.758000000000003</v>
          </cell>
          <cell r="F1370">
            <v>0.49199999999999999</v>
          </cell>
        </row>
        <row r="1371">
          <cell r="E1371">
            <v>51.814999999999998</v>
          </cell>
          <cell r="F1371">
            <v>0.28599999999999998</v>
          </cell>
        </row>
        <row r="1372">
          <cell r="E1372">
            <v>52.08</v>
          </cell>
          <cell r="F1372">
            <v>0.29299999999999998</v>
          </cell>
        </row>
        <row r="1373">
          <cell r="E1373">
            <v>52.103999999999999</v>
          </cell>
          <cell r="F1373">
            <v>0.36299999999999999</v>
          </cell>
        </row>
        <row r="1374">
          <cell r="E1374">
            <v>52.277999999999999</v>
          </cell>
          <cell r="F1374">
            <v>0.58799999999999997</v>
          </cell>
        </row>
        <row r="1375">
          <cell r="E1375">
            <v>52.319000000000003</v>
          </cell>
          <cell r="F1375">
            <v>0.27100000000000002</v>
          </cell>
        </row>
        <row r="1376">
          <cell r="E1376">
            <v>52.398000000000003</v>
          </cell>
          <cell r="F1376">
            <v>0.22900000000000001</v>
          </cell>
        </row>
        <row r="1377">
          <cell r="E1377">
            <v>52.4</v>
          </cell>
          <cell r="F1377">
            <v>0.29299999999999998</v>
          </cell>
        </row>
        <row r="1378">
          <cell r="E1378">
            <v>52.41</v>
          </cell>
          <cell r="F1378">
            <v>0.35299999999999998</v>
          </cell>
        </row>
        <row r="1379">
          <cell r="E1379">
            <v>52.534999999999997</v>
          </cell>
          <cell r="F1379">
            <v>0.29599999999999999</v>
          </cell>
        </row>
        <row r="1380">
          <cell r="E1380">
            <v>52.54</v>
          </cell>
          <cell r="F1380">
            <v>0.313</v>
          </cell>
        </row>
        <row r="1381">
          <cell r="E1381">
            <v>52.578000000000003</v>
          </cell>
          <cell r="F1381">
            <v>0.24</v>
          </cell>
        </row>
        <row r="1383">
          <cell r="E1383">
            <v>52.78</v>
          </cell>
          <cell r="F1383">
            <v>0.318</v>
          </cell>
        </row>
        <row r="1384">
          <cell r="E1384">
            <v>52.9</v>
          </cell>
          <cell r="F1384">
            <v>0.26</v>
          </cell>
        </row>
        <row r="1385">
          <cell r="E1385">
            <v>52.901000000000003</v>
          </cell>
          <cell r="F1385">
            <v>0.64500000000000002</v>
          </cell>
        </row>
        <row r="1386">
          <cell r="E1386">
            <v>53.052999999999997</v>
          </cell>
          <cell r="F1386">
            <v>0.22900000000000001</v>
          </cell>
        </row>
        <row r="1387">
          <cell r="E1387">
            <v>53.25</v>
          </cell>
          <cell r="F1387">
            <v>0.34799999999999998</v>
          </cell>
        </row>
        <row r="1389">
          <cell r="E1389">
            <v>53.325000000000003</v>
          </cell>
          <cell r="F1389">
            <v>0.38600000000000001</v>
          </cell>
        </row>
        <row r="1390">
          <cell r="E1390">
            <v>53.325000000000003</v>
          </cell>
          <cell r="F1390">
            <v>0.36899999999999999</v>
          </cell>
        </row>
        <row r="1391">
          <cell r="E1391">
            <v>53.390999999999998</v>
          </cell>
          <cell r="F1391">
            <v>0.32800000000000001</v>
          </cell>
        </row>
        <row r="1392">
          <cell r="E1392">
            <v>53.655000000000001</v>
          </cell>
          <cell r="F1392">
            <v>0.32500000000000001</v>
          </cell>
        </row>
        <row r="1393">
          <cell r="E1393">
            <v>53.68</v>
          </cell>
          <cell r="F1393">
            <v>0.33100000000000002</v>
          </cell>
        </row>
        <row r="1394">
          <cell r="E1394">
            <v>53.895000000000003</v>
          </cell>
          <cell r="F1394">
            <v>0.32700000000000001</v>
          </cell>
        </row>
        <row r="1395">
          <cell r="E1395">
            <v>53.9</v>
          </cell>
          <cell r="F1395">
            <v>0.29099999999999998</v>
          </cell>
        </row>
        <row r="1396">
          <cell r="E1396">
            <v>54.06</v>
          </cell>
          <cell r="F1396">
            <v>0.33900000000000002</v>
          </cell>
        </row>
        <row r="1397">
          <cell r="E1397">
            <v>54.125</v>
          </cell>
          <cell r="F1397">
            <v>0.28599999999999998</v>
          </cell>
        </row>
        <row r="1398">
          <cell r="E1398">
            <v>54.14</v>
          </cell>
          <cell r="F1398">
            <v>0.33600000000000002</v>
          </cell>
        </row>
        <row r="1399">
          <cell r="E1399">
            <v>54.23</v>
          </cell>
          <cell r="F1399">
            <v>0.35899999999999999</v>
          </cell>
        </row>
        <row r="1400">
          <cell r="E1400">
            <v>54.28</v>
          </cell>
          <cell r="F1400">
            <v>0.24199999999999999</v>
          </cell>
        </row>
        <row r="1401">
          <cell r="E1401">
            <v>54.243000000000002</v>
          </cell>
          <cell r="F1401">
            <v>0.317</v>
          </cell>
        </row>
        <row r="1402">
          <cell r="E1402">
            <v>54.296999999999997</v>
          </cell>
          <cell r="F1402">
            <v>0.36899999999999999</v>
          </cell>
        </row>
        <row r="1403">
          <cell r="E1403">
            <v>54.3</v>
          </cell>
          <cell r="F1403">
            <v>0.33200000000000002</v>
          </cell>
        </row>
        <row r="1404">
          <cell r="E1404">
            <v>54.32</v>
          </cell>
          <cell r="F1404">
            <v>0.27900000000000003</v>
          </cell>
        </row>
        <row r="1405">
          <cell r="E1405">
            <v>54.38</v>
          </cell>
          <cell r="F1405">
            <v>0.35099999999999998</v>
          </cell>
        </row>
        <row r="1406">
          <cell r="E1406">
            <v>54.7</v>
          </cell>
          <cell r="F1406">
            <v>0.33500000000000002</v>
          </cell>
        </row>
        <row r="1407">
          <cell r="E1407">
            <v>54.86</v>
          </cell>
          <cell r="F1407">
            <v>0.374</v>
          </cell>
        </row>
        <row r="1408">
          <cell r="E1408">
            <v>54.9</v>
          </cell>
          <cell r="F1408">
            <v>0.42699999999999999</v>
          </cell>
        </row>
        <row r="1409">
          <cell r="E1409">
            <v>54.918999999999997</v>
          </cell>
          <cell r="F1409">
            <v>0.27300000000000002</v>
          </cell>
        </row>
        <row r="1410">
          <cell r="E1410">
            <v>55</v>
          </cell>
          <cell r="F1410">
            <v>0.314</v>
          </cell>
        </row>
        <row r="1411">
          <cell r="E1411">
            <v>55.02</v>
          </cell>
          <cell r="F1411">
            <v>0.35599999999999998</v>
          </cell>
        </row>
        <row r="1412">
          <cell r="E1412">
            <v>55.1</v>
          </cell>
          <cell r="F1412">
            <v>0.28999999999999998</v>
          </cell>
        </row>
        <row r="1413">
          <cell r="E1413">
            <v>55.13</v>
          </cell>
          <cell r="F1413">
            <v>0.34599999999999997</v>
          </cell>
        </row>
        <row r="1414">
          <cell r="E1414">
            <v>55.13</v>
          </cell>
          <cell r="F1414">
            <v>0.41299999999999998</v>
          </cell>
        </row>
        <row r="1415">
          <cell r="E1415">
            <v>55.137</v>
          </cell>
          <cell r="F1415">
            <v>0.25</v>
          </cell>
        </row>
        <row r="1416">
          <cell r="E1416">
            <v>55.244</v>
          </cell>
          <cell r="F1416">
            <v>0.26800000000000002</v>
          </cell>
        </row>
        <row r="1417">
          <cell r="E1417">
            <v>55.274999999999999</v>
          </cell>
          <cell r="F1417">
            <v>0.29099999999999998</v>
          </cell>
        </row>
        <row r="1418">
          <cell r="E1418">
            <v>55.286999999999999</v>
          </cell>
          <cell r="F1418">
            <v>0.185</v>
          </cell>
        </row>
        <row r="1419">
          <cell r="E1419">
            <v>55.4</v>
          </cell>
          <cell r="F1419">
            <v>0.57099999999999995</v>
          </cell>
        </row>
        <row r="1420">
          <cell r="E1420">
            <v>55.445999999999998</v>
          </cell>
          <cell r="F1420">
            <v>0.32800000000000001</v>
          </cell>
        </row>
        <row r="1421">
          <cell r="E1421">
            <v>55.456000000000003</v>
          </cell>
          <cell r="F1421">
            <v>0.38400000000000001</v>
          </cell>
        </row>
        <row r="1422">
          <cell r="E1422">
            <v>55.465000000000003</v>
          </cell>
          <cell r="F1422">
            <v>0.40400000000000003</v>
          </cell>
        </row>
        <row r="1423">
          <cell r="E1423">
            <v>55.48</v>
          </cell>
          <cell r="F1423">
            <v>0.41699999999999998</v>
          </cell>
        </row>
        <row r="1424">
          <cell r="E1424">
            <v>55.5</v>
          </cell>
          <cell r="F1424">
            <v>0.41199999999999998</v>
          </cell>
        </row>
        <row r="1425">
          <cell r="E1425">
            <v>55.51</v>
          </cell>
          <cell r="F1425">
            <v>0.375</v>
          </cell>
        </row>
        <row r="1426">
          <cell r="E1426">
            <v>55.569000000000003</v>
          </cell>
          <cell r="F1426">
            <v>0.41499999999999998</v>
          </cell>
        </row>
        <row r="1427">
          <cell r="E1427">
            <v>55.58</v>
          </cell>
          <cell r="F1427">
            <v>0.28100000000000003</v>
          </cell>
        </row>
        <row r="1428">
          <cell r="E1428">
            <v>55.75</v>
          </cell>
          <cell r="F1428">
            <v>0.22900000000000001</v>
          </cell>
        </row>
        <row r="1429">
          <cell r="E1429">
            <v>55.8</v>
          </cell>
          <cell r="F1429">
            <v>0.25900000000000001</v>
          </cell>
        </row>
        <row r="1430">
          <cell r="E1430">
            <v>55.8</v>
          </cell>
          <cell r="F1430">
            <v>0.42799999999999999</v>
          </cell>
        </row>
        <row r="1431">
          <cell r="E1431">
            <v>55.817999999999998</v>
          </cell>
          <cell r="F1431">
            <v>0.35699999999999998</v>
          </cell>
        </row>
        <row r="1432">
          <cell r="E1432">
            <v>55.887999999999998</v>
          </cell>
          <cell r="F1432">
            <v>0.40600000000000003</v>
          </cell>
        </row>
        <row r="1434">
          <cell r="E1434">
            <v>55.92</v>
          </cell>
          <cell r="F1434">
            <v>0.38700000000000001</v>
          </cell>
        </row>
        <row r="1435">
          <cell r="E1435">
            <v>56.002000000000002</v>
          </cell>
          <cell r="F1435">
            <v>0.42299999999999999</v>
          </cell>
        </row>
        <row r="1436">
          <cell r="E1436">
            <v>56.03</v>
          </cell>
          <cell r="F1436">
            <v>0.34</v>
          </cell>
        </row>
        <row r="1437">
          <cell r="E1437">
            <v>56.03</v>
          </cell>
          <cell r="F1437">
            <v>0.44</v>
          </cell>
        </row>
        <row r="1438">
          <cell r="E1438">
            <v>56.103999999999999</v>
          </cell>
          <cell r="F1438">
            <v>0.41499999999999998</v>
          </cell>
        </row>
        <row r="1439">
          <cell r="E1439">
            <v>56.192</v>
          </cell>
          <cell r="F1439">
            <v>0.36299999999999999</v>
          </cell>
        </row>
        <row r="1440">
          <cell r="E1440">
            <v>56.22</v>
          </cell>
          <cell r="F1440">
            <v>0.42099999999999999</v>
          </cell>
        </row>
        <row r="1441">
          <cell r="E1441">
            <v>56.234999999999999</v>
          </cell>
          <cell r="F1441">
            <v>0.60899999999999999</v>
          </cell>
        </row>
        <row r="1442">
          <cell r="E1442">
            <v>56.273000000000003</v>
          </cell>
          <cell r="F1442">
            <v>0.36499999999999999</v>
          </cell>
        </row>
        <row r="1443">
          <cell r="E1443">
            <v>56.319000000000003</v>
          </cell>
          <cell r="F1443">
            <v>0.41499999999999998</v>
          </cell>
        </row>
        <row r="1444">
          <cell r="E1444">
            <v>56.494</v>
          </cell>
          <cell r="F1444">
            <v>0.317</v>
          </cell>
        </row>
        <row r="1445">
          <cell r="E1445">
            <v>56.65</v>
          </cell>
          <cell r="F1445">
            <v>0.31900000000000001</v>
          </cell>
        </row>
        <row r="1446">
          <cell r="E1446">
            <v>57.15</v>
          </cell>
          <cell r="F1446">
            <v>0.36</v>
          </cell>
        </row>
        <row r="1447">
          <cell r="E1447">
            <v>57.243000000000002</v>
          </cell>
          <cell r="F1447">
            <v>0.40500000000000003</v>
          </cell>
        </row>
        <row r="1448">
          <cell r="E1448">
            <v>57.255000000000003</v>
          </cell>
          <cell r="F1448">
            <v>0.107</v>
          </cell>
        </row>
        <row r="1449">
          <cell r="E1449">
            <v>57.390999999999998</v>
          </cell>
          <cell r="F1449">
            <v>0.28599999999999998</v>
          </cell>
        </row>
        <row r="1451">
          <cell r="E1451">
            <v>57.44</v>
          </cell>
          <cell r="F1451">
            <v>0.39</v>
          </cell>
        </row>
        <row r="1452">
          <cell r="E1452">
            <v>57.655000000000001</v>
          </cell>
          <cell r="F1452">
            <v>0.71899999999999997</v>
          </cell>
        </row>
        <row r="1453">
          <cell r="E1453">
            <v>57.94</v>
          </cell>
          <cell r="F1453">
            <v>0.32500000000000001</v>
          </cell>
        </row>
        <row r="1454">
          <cell r="E1454">
            <v>58.07</v>
          </cell>
          <cell r="F1454">
            <v>0.36799999999999999</v>
          </cell>
        </row>
        <row r="1455">
          <cell r="E1455">
            <v>58.103999999999999</v>
          </cell>
          <cell r="F1455">
            <v>0.36599999999999999</v>
          </cell>
        </row>
        <row r="1456">
          <cell r="E1456">
            <v>58.304000000000002</v>
          </cell>
          <cell r="F1456">
            <v>0.38900000000000001</v>
          </cell>
        </row>
        <row r="1457">
          <cell r="E1457">
            <v>58.43</v>
          </cell>
          <cell r="F1457">
            <v>0.34499999999999997</v>
          </cell>
        </row>
        <row r="1458">
          <cell r="E1458">
            <v>58.555</v>
          </cell>
          <cell r="F1458">
            <v>0.39900000000000002</v>
          </cell>
        </row>
        <row r="1460">
          <cell r="E1460">
            <v>58.661000000000001</v>
          </cell>
          <cell r="F1460">
            <v>0.39400000000000002</v>
          </cell>
        </row>
        <row r="1461">
          <cell r="E1461">
            <v>59.103000000000002</v>
          </cell>
          <cell r="F1461">
            <v>0.376</v>
          </cell>
        </row>
        <row r="1462">
          <cell r="E1462">
            <v>59.158999999999999</v>
          </cell>
          <cell r="F1462">
            <v>0.40899999999999997</v>
          </cell>
        </row>
        <row r="1464">
          <cell r="E1464">
            <v>59.6</v>
          </cell>
          <cell r="F1464">
            <v>0.38700000000000001</v>
          </cell>
        </row>
        <row r="1465">
          <cell r="E1465">
            <v>59.63</v>
          </cell>
          <cell r="F1465">
            <v>0.57699999999999996</v>
          </cell>
        </row>
        <row r="1466">
          <cell r="E1466">
            <v>59.764000000000003</v>
          </cell>
          <cell r="F1466">
            <v>0.43</v>
          </cell>
        </row>
        <row r="1467">
          <cell r="E1467">
            <v>59.93</v>
          </cell>
          <cell r="F1467">
            <v>0.35099999999999998</v>
          </cell>
        </row>
        <row r="1468">
          <cell r="E1468">
            <v>59.951000000000001</v>
          </cell>
          <cell r="F1468">
            <v>0.36</v>
          </cell>
        </row>
        <row r="1469">
          <cell r="E1469">
            <v>60.122</v>
          </cell>
          <cell r="F1469">
            <v>0.35399999999999998</v>
          </cell>
        </row>
        <row r="1470">
          <cell r="E1470">
            <v>60.22</v>
          </cell>
          <cell r="F1470">
            <v>0.44400000000000001</v>
          </cell>
        </row>
        <row r="1471">
          <cell r="E1471">
            <v>60.24</v>
          </cell>
          <cell r="F1471">
            <v>0.38300000000000001</v>
          </cell>
        </row>
        <row r="1472">
          <cell r="E1472">
            <v>60.109000000000002</v>
          </cell>
          <cell r="F1472">
            <v>0.55900000000000005</v>
          </cell>
        </row>
        <row r="1473">
          <cell r="E1473">
            <v>60.42</v>
          </cell>
          <cell r="F1473">
            <v>0.42499999999999999</v>
          </cell>
        </row>
        <row r="1474">
          <cell r="E1474">
            <v>60.515999999999998</v>
          </cell>
          <cell r="F1474">
            <v>0.69</v>
          </cell>
        </row>
        <row r="1475">
          <cell r="E1475">
            <v>60.975999999999999</v>
          </cell>
          <cell r="F1475">
            <v>0.42499999999999999</v>
          </cell>
        </row>
        <row r="1476">
          <cell r="E1476">
            <v>61.09</v>
          </cell>
          <cell r="F1476">
            <v>0.65800000000000003</v>
          </cell>
        </row>
        <row r="1477">
          <cell r="E1477">
            <v>61.101999999999997</v>
          </cell>
          <cell r="F1477">
            <v>0.40699999999999997</v>
          </cell>
        </row>
        <row r="1478">
          <cell r="E1478">
            <v>61.207000000000001</v>
          </cell>
          <cell r="F1478">
            <v>0.379</v>
          </cell>
        </row>
        <row r="1479">
          <cell r="E1479">
            <v>61.320999999999998</v>
          </cell>
          <cell r="F1479">
            <v>0.39900000000000002</v>
          </cell>
        </row>
        <row r="1480">
          <cell r="E1480">
            <v>61.610999999999997</v>
          </cell>
          <cell r="F1480">
            <v>0.42199999999999999</v>
          </cell>
        </row>
        <row r="1481">
          <cell r="E1481">
            <v>61.65</v>
          </cell>
          <cell r="F1481">
            <v>0.55800000000000005</v>
          </cell>
        </row>
        <row r="1482">
          <cell r="E1482">
            <v>61.712000000000003</v>
          </cell>
          <cell r="F1482">
            <v>0.432</v>
          </cell>
        </row>
        <row r="1483">
          <cell r="E1483">
            <v>61.75</v>
          </cell>
          <cell r="F1483">
            <v>0.40400000000000003</v>
          </cell>
        </row>
        <row r="1484">
          <cell r="E1484">
            <v>61.759</v>
          </cell>
          <cell r="F1484">
            <v>0.42599999999999999</v>
          </cell>
        </row>
        <row r="1485">
          <cell r="E1485">
            <v>61.8</v>
          </cell>
          <cell r="F1485">
            <v>0.42599999999999999</v>
          </cell>
        </row>
        <row r="1486">
          <cell r="E1486">
            <v>61.814999999999998</v>
          </cell>
          <cell r="F1486">
            <v>0.32800000000000001</v>
          </cell>
        </row>
        <row r="1487">
          <cell r="E1487">
            <v>62.04</v>
          </cell>
          <cell r="F1487">
            <v>0.45700000000000002</v>
          </cell>
        </row>
        <row r="1488">
          <cell r="E1488">
            <v>62.23</v>
          </cell>
          <cell r="F1488">
            <v>0.36399999999999999</v>
          </cell>
        </row>
        <row r="1489">
          <cell r="E1489">
            <v>62.51</v>
          </cell>
          <cell r="F1489">
            <v>0.36899999999999999</v>
          </cell>
        </row>
        <row r="1490">
          <cell r="E1490">
            <v>62.54</v>
          </cell>
          <cell r="F1490">
            <v>0.39500000000000002</v>
          </cell>
        </row>
        <row r="1491">
          <cell r="E1491">
            <v>62.613999999999997</v>
          </cell>
          <cell r="F1491">
            <v>0.45600000000000002</v>
          </cell>
        </row>
        <row r="1492">
          <cell r="E1492">
            <v>62.948</v>
          </cell>
          <cell r="F1492">
            <v>0.27200000000000002</v>
          </cell>
        </row>
        <row r="1493">
          <cell r="E1493">
            <v>63.03</v>
          </cell>
          <cell r="F1493">
            <v>0.44800000000000001</v>
          </cell>
        </row>
        <row r="1494">
          <cell r="E1494">
            <v>63.073999999999998</v>
          </cell>
          <cell r="F1494">
            <v>0.27100000000000002</v>
          </cell>
        </row>
        <row r="1495">
          <cell r="E1495">
            <v>63.21</v>
          </cell>
          <cell r="F1495">
            <v>0.32300000000000001</v>
          </cell>
        </row>
        <row r="1496">
          <cell r="E1496">
            <v>63.29</v>
          </cell>
          <cell r="F1496">
            <v>0.34899999999999998</v>
          </cell>
        </row>
        <row r="1497">
          <cell r="E1497">
            <v>63.47</v>
          </cell>
          <cell r="F1497">
            <v>0.438</v>
          </cell>
        </row>
        <row r="1498">
          <cell r="E1498">
            <v>63.63</v>
          </cell>
          <cell r="F1498">
            <v>0.44500000000000001</v>
          </cell>
        </row>
        <row r="1499">
          <cell r="E1499">
            <v>63.7</v>
          </cell>
          <cell r="F1499">
            <v>0.41499999999999998</v>
          </cell>
        </row>
        <row r="1500">
          <cell r="E1500">
            <v>63.966999999999999</v>
          </cell>
          <cell r="F1500">
            <v>0.437</v>
          </cell>
        </row>
        <row r="1501">
          <cell r="E1501">
            <v>64.159000000000006</v>
          </cell>
          <cell r="F1501">
            <v>0.53200000000000003</v>
          </cell>
        </row>
        <row r="1502">
          <cell r="E1502">
            <v>64.534999999999997</v>
          </cell>
          <cell r="F1502">
            <v>0.56699999999999995</v>
          </cell>
        </row>
        <row r="1503">
          <cell r="E1503">
            <v>64.853999999999999</v>
          </cell>
          <cell r="F1503">
            <v>0.42399999999999999</v>
          </cell>
        </row>
        <row r="1504">
          <cell r="E1504">
            <v>64.98</v>
          </cell>
          <cell r="F1504">
            <v>0.41499999999999998</v>
          </cell>
        </row>
        <row r="1505">
          <cell r="E1505">
            <v>65.099999999999994</v>
          </cell>
          <cell r="F1505">
            <v>0.47299999999999998</v>
          </cell>
        </row>
        <row r="1506">
          <cell r="E1506">
            <v>65.594999999999999</v>
          </cell>
          <cell r="F1506">
            <v>0.44400000000000001</v>
          </cell>
        </row>
        <row r="1507">
          <cell r="E1507">
            <v>65.819999999999993</v>
          </cell>
          <cell r="F1507">
            <v>0.44400000000000001</v>
          </cell>
        </row>
        <row r="1508">
          <cell r="E1508">
            <v>66.290000000000006</v>
          </cell>
          <cell r="F1508">
            <v>0.41799999999999998</v>
          </cell>
        </row>
        <row r="1509">
          <cell r="E1509">
            <v>66.375</v>
          </cell>
          <cell r="F1509">
            <v>0.41599999999999998</v>
          </cell>
        </row>
        <row r="1510">
          <cell r="E1510">
            <v>66.381</v>
          </cell>
          <cell r="F1510">
            <v>0.78200000000000003</v>
          </cell>
        </row>
        <row r="1511">
          <cell r="E1511">
            <v>66.683999999999997</v>
          </cell>
          <cell r="F1511">
            <v>0.46500000000000002</v>
          </cell>
        </row>
        <row r="1512">
          <cell r="E1512">
            <v>66.790000000000006</v>
          </cell>
          <cell r="F1512">
            <v>0.439</v>
          </cell>
        </row>
        <row r="1513">
          <cell r="E1513">
            <v>67.099999999999994</v>
          </cell>
          <cell r="F1513">
            <v>0.46</v>
          </cell>
        </row>
        <row r="1514">
          <cell r="E1514">
            <v>67.171000000000006</v>
          </cell>
          <cell r="F1514">
            <v>0.437</v>
          </cell>
        </row>
        <row r="1515">
          <cell r="E1515">
            <v>67.25</v>
          </cell>
          <cell r="F1515">
            <v>0.42799999999999999</v>
          </cell>
        </row>
        <row r="1516">
          <cell r="E1516">
            <v>67.299000000000007</v>
          </cell>
          <cell r="F1516">
            <v>0.68799999999999994</v>
          </cell>
        </row>
        <row r="1517">
          <cell r="E1517">
            <v>67.484999999999999</v>
          </cell>
          <cell r="F1517">
            <v>0.499</v>
          </cell>
          <cell r="AB1517" t="str">
            <v>Gonggong 🝽</v>
          </cell>
        </row>
        <row r="1518">
          <cell r="F1518">
            <v>0.29099999999999998</v>
          </cell>
        </row>
        <row r="1519">
          <cell r="E1519">
            <v>67.55</v>
          </cell>
          <cell r="F1519">
            <v>0.45700000000000002</v>
          </cell>
        </row>
        <row r="1520">
          <cell r="E1520">
            <v>67.63</v>
          </cell>
          <cell r="F1520">
            <v>0.58799999999999997</v>
          </cell>
        </row>
        <row r="1521">
          <cell r="E1521">
            <v>67.73</v>
          </cell>
          <cell r="F1521">
            <v>0.48599999999999999</v>
          </cell>
        </row>
        <row r="1522">
          <cell r="E1522">
            <v>67.83</v>
          </cell>
          <cell r="F1522">
            <v>0.438</v>
          </cell>
        </row>
        <row r="1523">
          <cell r="E1523">
            <v>67.864000000000004</v>
          </cell>
          <cell r="F1523">
            <v>0.436</v>
          </cell>
          <cell r="AB1523" t="str">
            <v>Eris ⯰</v>
          </cell>
        </row>
        <row r="1524">
          <cell r="F1524">
            <v>6.0000000000000001E-3</v>
          </cell>
        </row>
        <row r="1525">
          <cell r="E1525">
            <v>68.64</v>
          </cell>
          <cell r="F1525">
            <v>0.5</v>
          </cell>
        </row>
        <row r="1526">
          <cell r="E1526">
            <v>69</v>
          </cell>
          <cell r="F1526">
            <v>0.48</v>
          </cell>
        </row>
        <row r="1527">
          <cell r="E1527">
            <v>69.567999999999998</v>
          </cell>
          <cell r="F1527">
            <v>0.70199999999999996</v>
          </cell>
        </row>
        <row r="1528">
          <cell r="E1528">
            <v>69.783000000000001</v>
          </cell>
          <cell r="F1528">
            <v>0.45400000000000001</v>
          </cell>
        </row>
        <row r="1529">
          <cell r="E1529">
            <v>70.013000000000005</v>
          </cell>
          <cell r="F1529">
            <v>0.50600000000000001</v>
          </cell>
        </row>
        <row r="1530">
          <cell r="E1530">
            <v>70.543999999999997</v>
          </cell>
          <cell r="F1530">
            <v>0.53900000000000003</v>
          </cell>
        </row>
        <row r="1531">
          <cell r="E1531">
            <v>70.635000000000005</v>
          </cell>
          <cell r="F1531">
            <v>0.61099999999999999</v>
          </cell>
        </row>
        <row r="1532">
          <cell r="E1532">
            <v>70.89</v>
          </cell>
          <cell r="F1532">
            <v>0.49</v>
          </cell>
        </row>
        <row r="1533">
          <cell r="E1533">
            <v>71.02</v>
          </cell>
          <cell r="F1533">
            <v>0.52200000000000002</v>
          </cell>
        </row>
        <row r="1534">
          <cell r="E1534">
            <v>71.632000000000005</v>
          </cell>
          <cell r="F1534">
            <v>0.503</v>
          </cell>
        </row>
        <row r="1535">
          <cell r="E1535">
            <v>72</v>
          </cell>
          <cell r="F1535">
            <v>0.505</v>
          </cell>
        </row>
        <row r="1536">
          <cell r="E1536">
            <v>72.150000000000006</v>
          </cell>
          <cell r="F1536">
            <v>0.44400000000000001</v>
          </cell>
        </row>
        <row r="1537">
          <cell r="E1537">
            <v>72.19</v>
          </cell>
          <cell r="F1537">
            <v>0.439</v>
          </cell>
        </row>
        <row r="1538">
          <cell r="E1538">
            <v>72.801000000000002</v>
          </cell>
          <cell r="F1538">
            <v>0.48399999999999999</v>
          </cell>
        </row>
        <row r="1539">
          <cell r="F1539">
            <v>2.4E-2</v>
          </cell>
        </row>
        <row r="1540">
          <cell r="E1540">
            <v>72.846999999999994</v>
          </cell>
          <cell r="F1540">
            <v>0.48899999999999999</v>
          </cell>
        </row>
        <row r="1541">
          <cell r="E1541">
            <v>72.87</v>
          </cell>
          <cell r="F1541">
            <v>0.439</v>
          </cell>
        </row>
        <row r="1542">
          <cell r="E1542">
            <v>73.239999999999995</v>
          </cell>
          <cell r="F1542">
            <v>0.46200000000000002</v>
          </cell>
        </row>
        <row r="1543">
          <cell r="E1543">
            <v>74.239999999999995</v>
          </cell>
          <cell r="F1543">
            <v>0.48199999999999998</v>
          </cell>
        </row>
        <row r="1544">
          <cell r="E1544">
            <v>75.165999999999997</v>
          </cell>
          <cell r="F1544">
            <v>0.38500000000000001</v>
          </cell>
        </row>
        <row r="1545">
          <cell r="E1545">
            <v>75.48</v>
          </cell>
          <cell r="F1545">
            <v>0.49399999999999999</v>
          </cell>
        </row>
        <row r="1546">
          <cell r="E1546">
            <v>75.75</v>
          </cell>
          <cell r="F1546">
            <v>0.51600000000000001</v>
          </cell>
        </row>
        <row r="1547">
          <cell r="E1547">
            <v>76.114000000000004</v>
          </cell>
          <cell r="F1547">
            <v>0.32100000000000001</v>
          </cell>
        </row>
        <row r="1548">
          <cell r="E1548">
            <v>76.22</v>
          </cell>
          <cell r="F1548">
            <v>0.52800000000000002</v>
          </cell>
        </row>
        <row r="1549">
          <cell r="E1549">
            <v>76.55</v>
          </cell>
          <cell r="F1549">
            <v>0.51800000000000002</v>
          </cell>
        </row>
        <row r="1550">
          <cell r="E1550">
            <v>77.004000000000005</v>
          </cell>
          <cell r="F1550">
            <v>0.434</v>
          </cell>
        </row>
        <row r="1551">
          <cell r="E1551">
            <v>77.253</v>
          </cell>
          <cell r="F1551">
            <v>0.57699999999999996</v>
          </cell>
        </row>
        <row r="1552">
          <cell r="E1552">
            <v>77.516000000000005</v>
          </cell>
          <cell r="F1552">
            <v>0.69799999999999995</v>
          </cell>
        </row>
        <row r="1553">
          <cell r="E1553">
            <v>78</v>
          </cell>
          <cell r="F1553">
            <v>0.63</v>
          </cell>
        </row>
        <row r="1554">
          <cell r="E1554">
            <v>78.433000000000007</v>
          </cell>
          <cell r="F1554">
            <v>0.79100000000000004</v>
          </cell>
        </row>
        <row r="1555">
          <cell r="E1555">
            <v>78.793000000000006</v>
          </cell>
          <cell r="F1555">
            <v>0.498</v>
          </cell>
        </row>
        <row r="1556">
          <cell r="E1556">
            <v>78.997</v>
          </cell>
          <cell r="F1556">
            <v>0.55400000000000005</v>
          </cell>
        </row>
        <row r="1557">
          <cell r="E1557">
            <v>79.040999999999997</v>
          </cell>
          <cell r="F1557">
            <v>0.64400000000000002</v>
          </cell>
        </row>
        <row r="1558">
          <cell r="E1558">
            <v>79.599999999999994</v>
          </cell>
          <cell r="F1558">
            <v>0.57699999999999996</v>
          </cell>
        </row>
        <row r="1559">
          <cell r="E1559">
            <v>80.2</v>
          </cell>
          <cell r="F1559">
            <v>0.65500000000000003</v>
          </cell>
        </row>
        <row r="1560">
          <cell r="E1560">
            <v>80.998999999999995</v>
          </cell>
          <cell r="F1560">
            <v>0.58499999999999996</v>
          </cell>
        </row>
        <row r="1561">
          <cell r="E1561">
            <v>81.100999999999999</v>
          </cell>
          <cell r="F1561">
            <v>0.51</v>
          </cell>
        </row>
        <row r="1562">
          <cell r="E1562">
            <v>81.06</v>
          </cell>
          <cell r="F1562">
            <v>0.63100000000000001</v>
          </cell>
        </row>
        <row r="1563">
          <cell r="E1563">
            <v>81.11</v>
          </cell>
          <cell r="F1563">
            <v>0.51300000000000001</v>
          </cell>
        </row>
        <row r="1564">
          <cell r="E1564">
            <v>81.12</v>
          </cell>
          <cell r="F1564">
            <v>0.55900000000000005</v>
          </cell>
        </row>
        <row r="1565">
          <cell r="E1565">
            <v>81.373000000000005</v>
          </cell>
          <cell r="F1565">
            <v>0.58299999999999996</v>
          </cell>
        </row>
        <row r="1566">
          <cell r="E1566">
            <v>81.628</v>
          </cell>
          <cell r="F1566">
            <v>0.53</v>
          </cell>
        </row>
        <row r="1567">
          <cell r="E1567">
            <v>81.8</v>
          </cell>
          <cell r="F1567">
            <v>0.72199999999999998</v>
          </cell>
        </row>
        <row r="1568">
          <cell r="E1568">
            <v>82.168000000000006</v>
          </cell>
          <cell r="F1568">
            <v>0.55100000000000005</v>
          </cell>
        </row>
        <row r="1569">
          <cell r="E1569">
            <v>82.573999999999998</v>
          </cell>
          <cell r="F1569">
            <v>0.65800000000000003</v>
          </cell>
        </row>
        <row r="1570">
          <cell r="E1570">
            <v>83.105000000000004</v>
          </cell>
          <cell r="F1570">
            <v>0.55000000000000004</v>
          </cell>
        </row>
        <row r="1571">
          <cell r="E1571">
            <v>83.403000000000006</v>
          </cell>
          <cell r="F1571">
            <v>0.57999999999999996</v>
          </cell>
        </row>
        <row r="1572">
          <cell r="E1572">
            <v>83.716999999999999</v>
          </cell>
          <cell r="F1572">
            <v>0.71699999999999997</v>
          </cell>
        </row>
        <row r="1573">
          <cell r="E1573">
            <v>84.74</v>
          </cell>
          <cell r="F1573">
            <v>0.56999999999999995</v>
          </cell>
        </row>
        <row r="1574">
          <cell r="E1574">
            <v>85.3</v>
          </cell>
          <cell r="F1574">
            <v>0.60199999999999998</v>
          </cell>
        </row>
        <row r="1575">
          <cell r="E1575">
            <v>85.9</v>
          </cell>
          <cell r="F1575">
            <v>0.61299999999999999</v>
          </cell>
        </row>
        <row r="1576">
          <cell r="E1576">
            <v>86</v>
          </cell>
          <cell r="F1576">
            <v>0.56699999999999995</v>
          </cell>
        </row>
        <row r="1577">
          <cell r="E1577">
            <v>86.99</v>
          </cell>
          <cell r="F1577">
            <v>0.628</v>
          </cell>
        </row>
        <row r="1578">
          <cell r="E1578">
            <v>87.78</v>
          </cell>
          <cell r="F1578">
            <v>0.55700000000000005</v>
          </cell>
        </row>
        <row r="1579">
          <cell r="E1579">
            <v>87.864000000000004</v>
          </cell>
          <cell r="F1579">
            <v>0.60599999999999998</v>
          </cell>
        </row>
        <row r="1580">
          <cell r="E1580">
            <v>87.929000000000002</v>
          </cell>
          <cell r="F1580">
            <v>0.60099999999999998</v>
          </cell>
        </row>
        <row r="1581">
          <cell r="E1581">
            <v>89.61</v>
          </cell>
          <cell r="F1581">
            <v>0.60899999999999999</v>
          </cell>
        </row>
        <row r="1582">
          <cell r="E1582">
            <v>89.918999999999997</v>
          </cell>
          <cell r="F1582">
            <v>0.51800000000000002</v>
          </cell>
        </row>
        <row r="1583">
          <cell r="E1583">
            <v>90.337999999999994</v>
          </cell>
          <cell r="F1583">
            <v>0.67</v>
          </cell>
        </row>
        <row r="1584">
          <cell r="E1584">
            <v>91.456999999999994</v>
          </cell>
          <cell r="F1584">
            <v>0.59299999999999997</v>
          </cell>
        </row>
        <row r="1585">
          <cell r="E1585">
            <v>91.700999999999993</v>
          </cell>
          <cell r="F1585">
            <v>0.58899999999999997</v>
          </cell>
        </row>
        <row r="1586">
          <cell r="E1586">
            <v>92.92</v>
          </cell>
          <cell r="F1586">
            <v>0.64400000000000002</v>
          </cell>
        </row>
        <row r="1587">
          <cell r="E1587">
            <v>93.3</v>
          </cell>
          <cell r="F1587">
            <v>0.60699999999999998</v>
          </cell>
        </row>
        <row r="1588">
          <cell r="E1588">
            <v>93.759</v>
          </cell>
          <cell r="F1588">
            <v>0.626</v>
          </cell>
        </row>
        <row r="1589">
          <cell r="E1589">
            <v>93.87</v>
          </cell>
          <cell r="F1589">
            <v>0.59299999999999997</v>
          </cell>
        </row>
        <row r="1590">
          <cell r="E1590">
            <v>95</v>
          </cell>
          <cell r="F1590">
            <v>0.59</v>
          </cell>
        </row>
        <row r="1591">
          <cell r="E1591">
            <v>95.78</v>
          </cell>
          <cell r="F1591">
            <v>0.59899999999999998</v>
          </cell>
        </row>
        <row r="1592">
          <cell r="E1592">
            <v>96</v>
          </cell>
          <cell r="F1592">
            <v>0.60599999999999998</v>
          </cell>
        </row>
        <row r="1593">
          <cell r="E1593">
            <v>96.3</v>
          </cell>
          <cell r="F1593">
            <v>0.623</v>
          </cell>
        </row>
        <row r="1594">
          <cell r="E1594">
            <v>97.233000000000004</v>
          </cell>
          <cell r="F1594">
            <v>0.873</v>
          </cell>
        </row>
        <row r="1595">
          <cell r="E1595">
            <v>97.5</v>
          </cell>
          <cell r="F1595">
            <v>0.59799999999999998</v>
          </cell>
        </row>
        <row r="1596">
          <cell r="E1596">
            <v>97.941000000000003</v>
          </cell>
          <cell r="F1596">
            <v>0.625</v>
          </cell>
        </row>
        <row r="1597">
          <cell r="E1597">
            <v>98.03</v>
          </cell>
          <cell r="F1597">
            <v>0.70699999999999996</v>
          </cell>
        </row>
        <row r="1598">
          <cell r="E1598">
            <v>98.68</v>
          </cell>
          <cell r="F1598">
            <v>0.61499999999999999</v>
          </cell>
        </row>
        <row r="1599">
          <cell r="E1599">
            <v>98.988</v>
          </cell>
          <cell r="F1599">
            <v>0.59699999999999998</v>
          </cell>
        </row>
        <row r="1600">
          <cell r="E1600">
            <v>99</v>
          </cell>
          <cell r="F1600">
            <v>0.44800000000000001</v>
          </cell>
        </row>
        <row r="1601">
          <cell r="E1601">
            <v>99.626000000000005</v>
          </cell>
          <cell r="F1601">
            <v>0.64900000000000002</v>
          </cell>
        </row>
        <row r="1602">
          <cell r="E1602">
            <v>99.873999999999995</v>
          </cell>
          <cell r="F1602">
            <v>0.57599999999999996</v>
          </cell>
        </row>
        <row r="1603">
          <cell r="E1603">
            <v>100.7</v>
          </cell>
          <cell r="F1603">
            <v>0.72399999999999998</v>
          </cell>
        </row>
        <row r="1604">
          <cell r="E1604">
            <v>102.4</v>
          </cell>
          <cell r="F1604">
            <v>0.63800000000000001</v>
          </cell>
        </row>
        <row r="1605">
          <cell r="E1605">
            <v>102.61</v>
          </cell>
          <cell r="F1605">
            <v>0.61799999999999999</v>
          </cell>
        </row>
        <row r="1606">
          <cell r="E1606">
            <v>102.79</v>
          </cell>
          <cell r="F1606">
            <v>0.82599999999999996</v>
          </cell>
        </row>
        <row r="1607">
          <cell r="F1607">
            <v>1.4999999999999999E-2</v>
          </cell>
        </row>
        <row r="1608">
          <cell r="E1608">
            <v>103.176</v>
          </cell>
          <cell r="F1608">
            <v>0.33200000000000002</v>
          </cell>
        </row>
        <row r="1609">
          <cell r="E1609">
            <v>107.642</v>
          </cell>
          <cell r="F1609">
            <v>0.64400000000000002</v>
          </cell>
        </row>
        <row r="1610">
          <cell r="E1610">
            <v>107.91</v>
          </cell>
          <cell r="F1610">
            <v>0.66300000000000003</v>
          </cell>
        </row>
        <row r="1611">
          <cell r="E1611">
            <v>109.315</v>
          </cell>
          <cell r="F1611">
            <v>0.76500000000000001</v>
          </cell>
        </row>
        <row r="1612">
          <cell r="E1612">
            <v>110.51</v>
          </cell>
          <cell r="F1612">
            <v>0.66700000000000004</v>
          </cell>
        </row>
        <row r="1613">
          <cell r="E1613">
            <v>111</v>
          </cell>
          <cell r="F1613">
            <v>0.44</v>
          </cell>
        </row>
        <row r="1614">
          <cell r="E1614">
            <v>111.37</v>
          </cell>
          <cell r="F1614">
            <v>0.66500000000000004</v>
          </cell>
        </row>
        <row r="1615">
          <cell r="E1615">
            <v>111.809</v>
          </cell>
          <cell r="F1615">
            <v>0.67400000000000004</v>
          </cell>
        </row>
        <row r="1616">
          <cell r="E1616">
            <v>113.83</v>
          </cell>
          <cell r="F1616">
            <v>0.68799999999999994</v>
          </cell>
        </row>
        <row r="1617">
          <cell r="E1617">
            <v>118.089</v>
          </cell>
          <cell r="F1617">
            <v>0.78200000000000003</v>
          </cell>
        </row>
        <row r="1618">
          <cell r="E1618">
            <v>120.07299999999999</v>
          </cell>
          <cell r="F1618">
            <v>0.72</v>
          </cell>
        </row>
        <row r="1619">
          <cell r="E1619">
            <v>120.97</v>
          </cell>
          <cell r="F1619">
            <v>0.69</v>
          </cell>
        </row>
        <row r="1620">
          <cell r="E1620">
            <v>120.98</v>
          </cell>
          <cell r="F1620">
            <v>0.78400000000000003</v>
          </cell>
        </row>
        <row r="1621">
          <cell r="E1621">
            <v>121</v>
          </cell>
          <cell r="F1621">
            <v>0.67700000000000005</v>
          </cell>
        </row>
        <row r="1622">
          <cell r="E1622">
            <v>122</v>
          </cell>
          <cell r="F1622">
            <v>0.76600000000000001</v>
          </cell>
        </row>
        <row r="1623">
          <cell r="E1623">
            <v>123.526</v>
          </cell>
          <cell r="F1623">
            <v>0.69499999999999995</v>
          </cell>
        </row>
        <row r="1624">
          <cell r="E1624">
            <v>138.4</v>
          </cell>
          <cell r="F1624">
            <v>0.74199999999999999</v>
          </cell>
        </row>
        <row r="1625">
          <cell r="E1625">
            <v>141.83000000000001</v>
          </cell>
          <cell r="F1625">
            <v>0.73199999999999998</v>
          </cell>
        </row>
        <row r="1626">
          <cell r="E1626">
            <v>149.65</v>
          </cell>
          <cell r="F1626">
            <v>0.751</v>
          </cell>
        </row>
        <row r="1627">
          <cell r="E1627">
            <v>150.47999999999999</v>
          </cell>
          <cell r="F1627">
            <v>0.77200000000000002</v>
          </cell>
        </row>
        <row r="1628">
          <cell r="E1628">
            <v>154.76</v>
          </cell>
          <cell r="F1628">
            <v>0.73499999999999999</v>
          </cell>
        </row>
        <row r="1629">
          <cell r="E1629">
            <v>161.63</v>
          </cell>
          <cell r="F1629">
            <v>0.79500000000000004</v>
          </cell>
        </row>
        <row r="1630">
          <cell r="E1630">
            <v>166.16</v>
          </cell>
          <cell r="F1630">
            <v>0.77100000000000002</v>
          </cell>
        </row>
        <row r="1631">
          <cell r="E1631">
            <v>169.1</v>
          </cell>
          <cell r="F1631">
            <v>0.79</v>
          </cell>
        </row>
        <row r="1632">
          <cell r="E1632">
            <v>169.78</v>
          </cell>
          <cell r="F1632">
            <v>0.88500000000000001</v>
          </cell>
        </row>
        <row r="1633">
          <cell r="E1633">
            <v>172.9</v>
          </cell>
          <cell r="F1633">
            <v>0.83099999999999996</v>
          </cell>
        </row>
        <row r="1634">
          <cell r="E1634">
            <v>178.554</v>
          </cell>
          <cell r="F1634">
            <v>0.85</v>
          </cell>
        </row>
        <row r="1635">
          <cell r="E1635">
            <v>180.92</v>
          </cell>
          <cell r="F1635">
            <v>0.95199999999999996</v>
          </cell>
        </row>
        <row r="1636">
          <cell r="E1636">
            <v>191.06</v>
          </cell>
          <cell r="F1636">
            <v>0.81599999999999995</v>
          </cell>
        </row>
        <row r="1637">
          <cell r="E1637">
            <v>195.91</v>
          </cell>
          <cell r="F1637">
            <v>0.77600000000000002</v>
          </cell>
        </row>
        <row r="1638">
          <cell r="E1638">
            <v>215.8</v>
          </cell>
          <cell r="F1638">
            <v>0.89500000000000002</v>
          </cell>
        </row>
        <row r="1639">
          <cell r="E1639">
            <v>220.68199999999999</v>
          </cell>
          <cell r="F1639">
            <v>0.88200000000000001</v>
          </cell>
        </row>
        <row r="1640">
          <cell r="E1640">
            <v>227.23</v>
          </cell>
          <cell r="F1640">
            <v>0.84899999999999998</v>
          </cell>
        </row>
        <row r="1641">
          <cell r="E1641">
            <v>227.95</v>
          </cell>
          <cell r="F1641">
            <v>0.80600000000000005</v>
          </cell>
        </row>
        <row r="1642">
          <cell r="E1642">
            <v>244.8</v>
          </cell>
          <cell r="F1642">
            <v>0.95</v>
          </cell>
        </row>
        <row r="1643">
          <cell r="E1643">
            <v>252</v>
          </cell>
          <cell r="F1643">
            <v>0.73899999999999999</v>
          </cell>
        </row>
        <row r="1644">
          <cell r="E1644">
            <v>271.5</v>
          </cell>
          <cell r="F1644">
            <v>0.70399999999999996</v>
          </cell>
        </row>
        <row r="1645">
          <cell r="E1645">
            <v>271.89999999999998</v>
          </cell>
          <cell r="F1645">
            <v>0.85499999999999998</v>
          </cell>
        </row>
        <row r="1646">
          <cell r="E1646">
            <v>277.83</v>
          </cell>
          <cell r="F1646">
            <v>0.94</v>
          </cell>
        </row>
        <row r="1647">
          <cell r="E1647">
            <v>278.33</v>
          </cell>
          <cell r="F1647">
            <v>0.96599999999999997</v>
          </cell>
        </row>
        <row r="1648">
          <cell r="E1648">
            <v>292</v>
          </cell>
          <cell r="F1648">
            <v>0.83699999999999997</v>
          </cell>
        </row>
        <row r="1649">
          <cell r="E1649">
            <v>296</v>
          </cell>
          <cell r="F1649">
            <v>0.86</v>
          </cell>
        </row>
        <row r="1650">
          <cell r="E1650">
            <v>328</v>
          </cell>
          <cell r="F1650">
            <v>0.85799999999999998</v>
          </cell>
        </row>
        <row r="1651">
          <cell r="E1651">
            <v>335.16899999999998</v>
          </cell>
          <cell r="F1651">
            <v>0.88500000000000001</v>
          </cell>
        </row>
        <row r="1652">
          <cell r="E1652">
            <v>347.6</v>
          </cell>
          <cell r="F1652">
            <v>0.96799999999999997</v>
          </cell>
        </row>
        <row r="1653">
          <cell r="E1653">
            <v>349</v>
          </cell>
          <cell r="F1653">
            <v>0.86899999999999999</v>
          </cell>
        </row>
        <row r="1654">
          <cell r="E1654">
            <v>364</v>
          </cell>
          <cell r="F1654">
            <v>0.89700000000000002</v>
          </cell>
        </row>
        <row r="1655">
          <cell r="E1655">
            <v>375.12200000000001</v>
          </cell>
          <cell r="F1655">
            <v>0.94099999999999995</v>
          </cell>
        </row>
        <row r="1656">
          <cell r="E1656">
            <v>407.964</v>
          </cell>
          <cell r="F1656">
            <v>0.93200000000000005</v>
          </cell>
        </row>
        <row r="1657">
          <cell r="E1657">
            <v>416.89</v>
          </cell>
          <cell r="F1657">
            <v>0.89100000000000001</v>
          </cell>
        </row>
        <row r="1658">
          <cell r="E1658">
            <v>428.03</v>
          </cell>
          <cell r="F1658">
            <v>0.91800000000000004</v>
          </cell>
        </row>
        <row r="1659">
          <cell r="E1659">
            <v>457.51299999999998</v>
          </cell>
          <cell r="F1659">
            <v>0.9</v>
          </cell>
        </row>
        <row r="1660">
          <cell r="E1660">
            <v>457.89699999999999</v>
          </cell>
          <cell r="F1660">
            <v>0.95899999999999996</v>
          </cell>
        </row>
        <row r="1661">
          <cell r="E1661">
            <v>472.77</v>
          </cell>
          <cell r="F1661">
            <v>0.92500000000000004</v>
          </cell>
        </row>
        <row r="1662">
          <cell r="E1662">
            <v>484.5</v>
          </cell>
          <cell r="F1662">
            <v>0.98699999999999999</v>
          </cell>
        </row>
        <row r="1663">
          <cell r="E1663">
            <v>506</v>
          </cell>
          <cell r="F1663">
            <v>0.85</v>
          </cell>
          <cell r="AB1663" t="str">
            <v>Sedna ⯲</v>
          </cell>
        </row>
        <row r="1664">
          <cell r="E1664">
            <v>519.9</v>
          </cell>
          <cell r="F1664">
            <v>0.96799999999999997</v>
          </cell>
        </row>
        <row r="1665">
          <cell r="E1665">
            <v>610.09</v>
          </cell>
          <cell r="F1665">
            <v>0.96099999999999997</v>
          </cell>
        </row>
        <row r="1666">
          <cell r="E1666">
            <v>679.81600000000003</v>
          </cell>
          <cell r="F1666">
            <v>0.94</v>
          </cell>
        </row>
        <row r="1667">
          <cell r="E1667">
            <v>690.4</v>
          </cell>
          <cell r="F1667">
            <v>0.92700000000000005</v>
          </cell>
        </row>
        <row r="1668">
          <cell r="E1668">
            <v>840</v>
          </cell>
          <cell r="F1668">
            <v>0.94599999999999995</v>
          </cell>
        </row>
        <row r="1669">
          <cell r="E1669">
            <v>905.01199999999994</v>
          </cell>
          <cell r="F1669">
            <v>0.97299999999999998</v>
          </cell>
        </row>
        <row r="1670">
          <cell r="E1670">
            <v>1080</v>
          </cell>
          <cell r="F1670">
            <v>0.99199999999999999</v>
          </cell>
        </row>
        <row r="1671">
          <cell r="E1671">
            <v>1085</v>
          </cell>
          <cell r="F1671">
            <v>0.94</v>
          </cell>
        </row>
        <row r="1672">
          <cell r="E1672">
            <v>1603</v>
          </cell>
          <cell r="F1672">
            <v>0.99099999999999999</v>
          </cell>
        </row>
        <row r="1673">
          <cell r="E1673">
            <v>2045</v>
          </cell>
          <cell r="F1673">
            <v>0.98199999999999998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24034-DEC0-4D3C-B9A0-57C2E6341BE7}">
  <sheetPr codeName="Sheet1"/>
  <dimension ref="A1:AA362"/>
  <sheetViews>
    <sheetView tabSelected="1" workbookViewId="0">
      <pane ySplit="1" topLeftCell="A24" activePane="bottomLeft" state="frozen"/>
      <selection activeCell="M8" sqref="M8"/>
      <selection pane="bottomLeft" activeCell="M8" sqref="M8"/>
    </sheetView>
  </sheetViews>
  <sheetFormatPr defaultRowHeight="15"/>
  <cols>
    <col min="1" max="1" width="9.140625" style="25"/>
    <col min="3" max="3" width="13.7109375" style="25" customWidth="1"/>
    <col min="4" max="4" width="18.5703125" style="26" customWidth="1"/>
    <col min="5" max="5" width="14.5703125" style="25" customWidth="1"/>
    <col min="6" max="6" width="8.85546875" customWidth="1"/>
    <col min="7" max="7" width="8.7109375" customWidth="1"/>
    <col min="8" max="8" width="8.85546875" style="26" customWidth="1"/>
    <col min="11" max="11" width="9.140625" style="27"/>
    <col min="12" max="13" width="9.140625" style="28"/>
    <col min="27" max="27" width="9.140625" style="24" hidden="1" customWidth="1"/>
  </cols>
  <sheetData>
    <row r="1" spans="1:27" s="6" customFormat="1">
      <c r="A1" s="1" t="s">
        <v>0</v>
      </c>
      <c r="B1" s="2"/>
      <c r="C1" s="3" t="s">
        <v>1</v>
      </c>
      <c r="D1" s="4" t="s">
        <v>2</v>
      </c>
      <c r="E1" s="5" t="s">
        <v>3</v>
      </c>
      <c r="F1" s="5"/>
      <c r="H1" s="4" t="s">
        <v>4</v>
      </c>
      <c r="K1" s="7" t="s">
        <v>5</v>
      </c>
      <c r="L1" s="4" t="s">
        <v>6</v>
      </c>
      <c r="M1" s="4" t="s">
        <v>7</v>
      </c>
      <c r="AA1" s="5" t="s">
        <v>8</v>
      </c>
    </row>
    <row r="2" spans="1:27" s="17" customFormat="1">
      <c r="A2" s="8"/>
      <c r="B2" s="9" t="s">
        <v>9</v>
      </c>
      <c r="C2" s="10" t="s">
        <v>10</v>
      </c>
      <c r="D2" s="11">
        <f>IF($C$2="","", IFERROR( INDEX('[1]Sorting Data'!$E$2:$E$1700, MATCH($C$2,'[1]Sorting Data'!$AB$2:$AB$1700,0) ), "" ))</f>
        <v>1</v>
      </c>
      <c r="E2" s="12">
        <f>IF($C$2="","", IFERROR( INDEX('[1]Sorting Data'!$F$2:$F$1700, MATCH($C$2,'[1]Sorting Data'!$AB$2:$AB$1700,0) ), "" ))</f>
        <v>1.7000000000000001E-2</v>
      </c>
      <c r="F2" s="13"/>
      <c r="G2" s="13"/>
      <c r="H2" s="14">
        <f>IF( OR(D2="",E2=""), "", D2*(1+E2) )</f>
        <v>1.0169999999999999</v>
      </c>
      <c r="I2" s="13"/>
      <c r="J2" s="13"/>
      <c r="K2" s="15">
        <v>0</v>
      </c>
      <c r="L2" s="16">
        <f>IF($D$2="","", ($D$2*(1-$E$2^2)/(1+$E$2*COS(RADIANS(K2)))) * COS(RADIANS(K2)) )</f>
        <v>0.9830000000000001</v>
      </c>
      <c r="M2" s="16">
        <f>IF($D$2="","", ($D$2*(1-$E$2^2)/(1+$E$2*COS(RADIANS(K2)))) * SIN(RADIANS(K2)) )</f>
        <v>0</v>
      </c>
      <c r="AA2" s="18" t="str" cm="1">
        <f t="array" ref="AA2:AA23">_xlfn._xlws.FILTER('[1]Sorting Data'!$AB$2:$AB$1700,
        '[1]Sorting Data'!$AB$2:$AB$1700&lt;&gt;"")</f>
        <v>Mercury ☿</v>
      </c>
    </row>
    <row r="3" spans="1:27">
      <c r="A3" s="20"/>
      <c r="B3" s="21"/>
      <c r="C3" s="22"/>
      <c r="D3" s="23"/>
      <c r="E3" s="22"/>
      <c r="F3" s="21"/>
      <c r="G3" s="21"/>
      <c r="H3" s="23"/>
      <c r="I3" s="21"/>
      <c r="J3" s="21"/>
      <c r="K3" s="15">
        <f>K2+1</f>
        <v>1</v>
      </c>
      <c r="L3" s="16">
        <f t="shared" ref="L3:L66" si="0">IF($D$2="","", ($D$2*(1-$E$2^2)/(1+$E$2*COS(RADIANS(K3)))) * COS(RADIANS(K3)) )</f>
        <v>0.98285278658561481</v>
      </c>
      <c r="M3" s="16">
        <f t="shared" ref="M3:M66" si="1">IF($D$2="","", ($D$2*(1-$E$2^2)/(1+$E$2*COS(RADIANS(K3)))) * SIN(RADIANS(K3)) )</f>
        <v>1.7155759204731488E-2</v>
      </c>
      <c r="AA3" s="18" t="str">
        <v>Venus ♀</v>
      </c>
    </row>
    <row r="4" spans="1:27">
      <c r="A4" s="20"/>
      <c r="B4" s="21"/>
      <c r="C4" s="22"/>
      <c r="D4" s="23"/>
      <c r="E4" s="22"/>
      <c r="F4" s="21"/>
      <c r="G4" s="21"/>
      <c r="H4" s="23"/>
      <c r="I4" s="21"/>
      <c r="J4" s="21"/>
      <c r="K4" s="15">
        <f t="shared" ref="K4:K67" si="2">K3+1</f>
        <v>2</v>
      </c>
      <c r="L4" s="16">
        <f t="shared" si="0"/>
        <v>0.98241118668835337</v>
      </c>
      <c r="M4" s="16">
        <f t="shared" si="1"/>
        <v>3.430655459645833E-2</v>
      </c>
      <c r="AA4" s="18" t="str">
        <v>Earth ⊕</v>
      </c>
    </row>
    <row r="5" spans="1:27">
      <c r="A5" s="20"/>
      <c r="B5" s="21"/>
      <c r="C5" s="22"/>
      <c r="D5" s="23"/>
      <c r="E5" s="22"/>
      <c r="F5" s="21"/>
      <c r="G5" s="21"/>
      <c r="H5" s="23"/>
      <c r="I5" s="21"/>
      <c r="J5" s="21"/>
      <c r="K5" s="15">
        <f t="shared" si="2"/>
        <v>3</v>
      </c>
      <c r="L5" s="16">
        <f t="shared" si="0"/>
        <v>0.98167532133874424</v>
      </c>
      <c r="M5" s="16">
        <f t="shared" si="1"/>
        <v>5.1447423568329459E-2</v>
      </c>
      <c r="AA5" s="18" t="str">
        <v>Mars ♂</v>
      </c>
    </row>
    <row r="6" spans="1:27">
      <c r="A6" s="20"/>
      <c r="B6" s="21"/>
      <c r="C6" s="22"/>
      <c r="D6" s="23"/>
      <c r="E6" s="22"/>
      <c r="F6" s="21"/>
      <c r="G6" s="21"/>
      <c r="H6" s="23"/>
      <c r="I6" s="21"/>
      <c r="J6" s="21"/>
      <c r="K6" s="15">
        <f t="shared" si="2"/>
        <v>4</v>
      </c>
      <c r="L6" s="16">
        <f t="shared" si="0"/>
        <v>0.98064539223048386</v>
      </c>
      <c r="M6" s="16">
        <f t="shared" si="1"/>
        <v>6.8573405925771061E-2</v>
      </c>
      <c r="AA6" s="18" t="str">
        <v>Vesta ⚶</v>
      </c>
    </row>
    <row r="7" spans="1:27">
      <c r="A7" s="20"/>
      <c r="B7" s="21"/>
      <c r="C7" s="22"/>
      <c r="D7" s="23"/>
      <c r="E7" s="22"/>
      <c r="F7" s="21"/>
      <c r="G7" s="21"/>
      <c r="H7" s="23"/>
      <c r="I7" s="21"/>
      <c r="J7" s="21"/>
      <c r="K7" s="15">
        <f t="shared" si="2"/>
        <v>5</v>
      </c>
      <c r="L7" s="16">
        <f t="shared" si="0"/>
        <v>0.97932168168464784</v>
      </c>
      <c r="M7" s="16">
        <f t="shared" si="1"/>
        <v>8.5679545092550199E-2</v>
      </c>
      <c r="AA7" s="18" t="str">
        <v>Juno ⚵</v>
      </c>
    </row>
    <row r="8" spans="1:27">
      <c r="A8" s="20"/>
      <c r="B8" s="21"/>
      <c r="C8" s="22"/>
      <c r="D8" s="23"/>
      <c r="E8" s="22"/>
      <c r="F8" s="21"/>
      <c r="G8" s="21"/>
      <c r="H8" s="23"/>
      <c r="I8" s="21"/>
      <c r="J8" s="21"/>
      <c r="K8" s="15">
        <f t="shared" si="2"/>
        <v>6</v>
      </c>
      <c r="L8" s="16">
        <f t="shared" si="0"/>
        <v>0.97770455259956612</v>
      </c>
      <c r="M8" s="16">
        <f t="shared" si="1"/>
        <v>0.10276088931674776</v>
      </c>
      <c r="AA8" s="18" t="str">
        <v>Ceres ⚳</v>
      </c>
    </row>
    <row r="9" spans="1:27">
      <c r="A9" s="20"/>
      <c r="B9" s="21"/>
      <c r="C9" s="22"/>
      <c r="D9" s="23"/>
      <c r="E9" s="22"/>
      <c r="F9" s="21"/>
      <c r="G9" s="21"/>
      <c r="H9" s="23"/>
      <c r="I9" s="21"/>
      <c r="J9" s="21"/>
      <c r="K9" s="15">
        <f t="shared" si="2"/>
        <v>7</v>
      </c>
      <c r="L9" s="16">
        <f t="shared" si="0"/>
        <v>0.97579444838633755</v>
      </c>
      <c r="M9" s="16">
        <f t="shared" si="1"/>
        <v>0.11981249287660846</v>
      </c>
      <c r="AA9" s="18" t="str">
        <v>Pallas ⚴</v>
      </c>
    </row>
    <row r="10" spans="1:27">
      <c r="A10" s="20"/>
      <c r="B10" s="21"/>
      <c r="C10" s="22"/>
      <c r="D10" s="23"/>
      <c r="E10" s="22"/>
      <c r="F10" s="21"/>
      <c r="G10" s="21"/>
      <c r="H10" s="23"/>
      <c r="I10" s="21"/>
      <c r="J10" s="21"/>
      <c r="K10" s="15">
        <f t="shared" si="2"/>
        <v>8</v>
      </c>
      <c r="L10" s="16">
        <f t="shared" si="0"/>
        <v>0.97359189288995618</v>
      </c>
      <c r="M10" s="16">
        <f t="shared" si="1"/>
        <v>0.13682941728623571</v>
      </c>
      <c r="AA10" s="18" t="str">
        <v>Hygiea ⚕</v>
      </c>
    </row>
    <row r="11" spans="1:27">
      <c r="A11" s="20"/>
      <c r="B11" s="21"/>
      <c r="C11" s="22"/>
      <c r="D11" s="23"/>
      <c r="E11" s="22"/>
      <c r="F11" s="21"/>
      <c r="G11" s="21"/>
      <c r="H11" s="23"/>
      <c r="I11" s="21"/>
      <c r="J11" s="21"/>
      <c r="K11" s="15">
        <f t="shared" si="2"/>
        <v>9</v>
      </c>
      <c r="L11" s="16">
        <f t="shared" si="0"/>
        <v>0.97109749029601389</v>
      </c>
      <c r="M11" s="16">
        <f t="shared" si="1"/>
        <v>0.15380673250109597</v>
      </c>
      <c r="AA11" s="18" t="str">
        <v>Jupiter ♃</v>
      </c>
    </row>
    <row r="12" spans="1:27">
      <c r="A12" s="20"/>
      <c r="B12" s="21"/>
      <c r="C12" s="22"/>
      <c r="D12" s="23"/>
      <c r="E12" s="22"/>
      <c r="F12" s="21"/>
      <c r="G12" s="21"/>
      <c r="H12" s="23"/>
      <c r="I12" s="21"/>
      <c r="J12" s="21"/>
      <c r="K12" s="15">
        <f t="shared" si="2"/>
        <v>10</v>
      </c>
      <c r="L12" s="16">
        <f t="shared" si="0"/>
        <v>0.96831192502294239</v>
      </c>
      <c r="M12" s="16">
        <f t="shared" si="1"/>
        <v>0.17073951812329694</v>
      </c>
      <c r="AA12" s="18" t="str">
        <v>Saturn ♄</v>
      </c>
    </row>
    <row r="13" spans="1:27">
      <c r="A13" s="20"/>
      <c r="B13" s="21"/>
      <c r="C13" s="22"/>
      <c r="D13" s="23"/>
      <c r="E13" s="22"/>
      <c r="F13" s="21"/>
      <c r="G13" s="21"/>
      <c r="H13" s="23"/>
      <c r="I13" s="21"/>
      <c r="J13" s="21"/>
      <c r="K13" s="15">
        <f t="shared" si="2"/>
        <v>11</v>
      </c>
      <c r="L13" s="16">
        <f t="shared" si="0"/>
        <v>0.96523596159973934</v>
      </c>
      <c r="M13" s="16">
        <f t="shared" si="1"/>
        <v>0.18762286460660027</v>
      </c>
      <c r="AA13" s="18" t="str">
        <v>Chiron ⚷</v>
      </c>
    </row>
    <row r="14" spans="1:27">
      <c r="A14" s="20"/>
      <c r="B14" s="21"/>
      <c r="C14" s="22"/>
      <c r="D14" s="23"/>
      <c r="E14" s="22"/>
      <c r="F14" s="21"/>
      <c r="G14" s="21"/>
      <c r="H14" s="23"/>
      <c r="I14" s="21"/>
      <c r="J14" s="21"/>
      <c r="K14" s="15">
        <f t="shared" si="2"/>
        <v>12</v>
      </c>
      <c r="L14" s="16">
        <f t="shared" si="0"/>
        <v>0.96187044452913373</v>
      </c>
      <c r="M14" s="16">
        <f t="shared" si="1"/>
        <v>0.20445187446112842</v>
      </c>
      <c r="AA14" s="18" t="str">
        <v>Uranus ♅</v>
      </c>
    </row>
    <row r="15" spans="1:27">
      <c r="A15" s="20"/>
      <c r="B15" s="21"/>
      <c r="C15" s="22"/>
      <c r="D15" s="23"/>
      <c r="E15" s="22"/>
      <c r="F15" s="21"/>
      <c r="G15" s="21"/>
      <c r="H15" s="23"/>
      <c r="I15" s="21"/>
      <c r="J15" s="21"/>
      <c r="K15" s="15">
        <f t="shared" si="2"/>
        <v>13</v>
      </c>
      <c r="L15" s="16">
        <f t="shared" si="0"/>
        <v>0.95821629813612852</v>
      </c>
      <c r="M15" s="16">
        <f t="shared" si="1"/>
        <v>0.22122166345772126</v>
      </c>
      <c r="AA15" s="18" t="str">
        <v>Neptune ♆</v>
      </c>
    </row>
    <row r="16" spans="1:27">
      <c r="A16" s="20"/>
      <c r="B16" s="21"/>
      <c r="C16" s="22"/>
      <c r="D16" s="23"/>
      <c r="E16" s="22"/>
      <c r="F16" s="21"/>
      <c r="G16" s="21"/>
      <c r="H16" s="23"/>
      <c r="I16" s="21"/>
      <c r="J16" s="21"/>
      <c r="K16" s="15">
        <f t="shared" si="2"/>
        <v>14</v>
      </c>
      <c r="L16" s="16">
        <f t="shared" si="0"/>
        <v>0.95427452640185273</v>
      </c>
      <c r="M16" s="16">
        <f t="shared" si="1"/>
        <v>0.23792736183189606</v>
      </c>
      <c r="AA16" s="19" t="str">
        <v>Orcus 🝿</v>
      </c>
    </row>
    <row r="17" spans="1:27">
      <c r="A17" s="20"/>
      <c r="B17" s="21"/>
      <c r="C17" s="22"/>
      <c r="D17" s="23"/>
      <c r="E17" s="22"/>
      <c r="F17" s="21"/>
      <c r="G17" s="21"/>
      <c r="H17" s="23"/>
      <c r="I17" s="21"/>
      <c r="J17" s="21"/>
      <c r="K17" s="15">
        <f t="shared" si="2"/>
        <v>15</v>
      </c>
      <c r="L17" s="16">
        <f t="shared" si="0"/>
        <v>0.95004621278265766</v>
      </c>
      <c r="M17" s="16">
        <f t="shared" si="1"/>
        <v>0.25456411548735963</v>
      </c>
      <c r="AA17" s="18" t="str">
        <v>Pluto ♇</v>
      </c>
    </row>
    <row r="18" spans="1:27">
      <c r="A18" s="20"/>
      <c r="B18" s="21"/>
      <c r="C18" s="22"/>
      <c r="D18" s="23"/>
      <c r="E18" s="22"/>
      <c r="F18" s="21"/>
      <c r="G18" s="21"/>
      <c r="H18" s="23"/>
      <c r="I18" s="21"/>
      <c r="J18" s="21"/>
      <c r="K18" s="15">
        <f t="shared" si="2"/>
        <v>16</v>
      </c>
      <c r="L18" s="16">
        <f t="shared" si="0"/>
        <v>0.94553252001437726</v>
      </c>
      <c r="M18" s="16">
        <f t="shared" si="1"/>
        <v>0.27112708719902034</v>
      </c>
      <c r="AA18" s="19" t="str">
        <v>Haumea 🝻</v>
      </c>
    </row>
    <row r="19" spans="1:27">
      <c r="A19" s="20"/>
      <c r="B19" s="21"/>
      <c r="C19" s="22"/>
      <c r="D19" s="23"/>
      <c r="E19" s="22"/>
      <c r="F19" s="21"/>
      <c r="G19" s="21"/>
      <c r="H19" s="23"/>
      <c r="I19" s="21"/>
      <c r="J19" s="21"/>
      <c r="K19" s="15">
        <f t="shared" si="2"/>
        <v>17</v>
      </c>
      <c r="L19" s="16">
        <f t="shared" si="0"/>
        <v>0.94073468990167164</v>
      </c>
      <c r="M19" s="16">
        <f t="shared" si="1"/>
        <v>0.28761145781543968</v>
      </c>
      <c r="AA19" s="19" t="str">
        <v>Quaoar 🝾</v>
      </c>
    </row>
    <row r="20" spans="1:27">
      <c r="A20" s="20"/>
      <c r="B20" s="21"/>
      <c r="C20" s="22"/>
      <c r="D20" s="23"/>
      <c r="E20" s="22"/>
      <c r="F20" s="21"/>
      <c r="G20" s="21"/>
      <c r="H20" s="23"/>
      <c r="I20" s="21"/>
      <c r="J20" s="21"/>
      <c r="K20" s="15">
        <f t="shared" si="2"/>
        <v>18</v>
      </c>
      <c r="L20" s="16">
        <f t="shared" si="0"/>
        <v>0.93565404309236899</v>
      </c>
      <c r="M20" s="16">
        <f t="shared" si="1"/>
        <v>0.30401242746066315</v>
      </c>
      <c r="AA20" s="19" t="str">
        <v>Makemake 🝼</v>
      </c>
    </row>
    <row r="21" spans="1:27">
      <c r="A21" s="20"/>
      <c r="B21" s="21"/>
      <c r="C21" s="22"/>
      <c r="D21" s="23"/>
      <c r="E21" s="22"/>
      <c r="F21" s="21"/>
      <c r="G21" s="21"/>
      <c r="H21" s="23"/>
      <c r="I21" s="21"/>
      <c r="J21" s="21"/>
      <c r="K21" s="15">
        <f t="shared" si="2"/>
        <v>19</v>
      </c>
      <c r="L21" s="16">
        <f t="shared" si="0"/>
        <v>0.93029197883670911</v>
      </c>
      <c r="M21" s="16">
        <f t="shared" si="1"/>
        <v>0.32032521673536385</v>
      </c>
      <c r="AA21" s="19" t="str">
        <v>Gonggong 🝽</v>
      </c>
    </row>
    <row r="22" spans="1:27">
      <c r="A22" s="20"/>
      <c r="B22" s="21"/>
      <c r="C22" s="22"/>
      <c r="D22" s="23"/>
      <c r="E22" s="22"/>
      <c r="F22" s="21"/>
      <c r="G22" s="21"/>
      <c r="H22" s="23"/>
      <c r="I22" s="21"/>
      <c r="J22" s="21"/>
      <c r="K22" s="15">
        <f t="shared" si="2"/>
        <v>20</v>
      </c>
      <c r="L22" s="16">
        <f t="shared" si="0"/>
        <v>0.92464997473139676</v>
      </c>
      <c r="M22" s="16">
        <f t="shared" si="1"/>
        <v>0.33654506791722455</v>
      </c>
      <c r="AA22" s="19" t="str">
        <v>Eris ⯰</v>
      </c>
    </row>
    <row r="23" spans="1:27">
      <c r="A23" s="20"/>
      <c r="B23" s="21"/>
      <c r="C23" s="22"/>
      <c r="D23" s="23"/>
      <c r="E23" s="22"/>
      <c r="F23" s="21"/>
      <c r="G23" s="21"/>
      <c r="H23" s="23"/>
      <c r="I23" s="21"/>
      <c r="J23" s="21"/>
      <c r="K23" s="15">
        <f t="shared" si="2"/>
        <v>21</v>
      </c>
      <c r="L23" s="16">
        <f t="shared" si="0"/>
        <v>0.91872958644835923</v>
      </c>
      <c r="M23" s="16">
        <f t="shared" si="1"/>
        <v>0.352667246160486</v>
      </c>
      <c r="AA23" s="19" t="str">
        <v>Sedna ⯲</v>
      </c>
    </row>
    <row r="24" spans="1:27">
      <c r="A24" s="20"/>
      <c r="B24" s="21"/>
      <c r="C24" s="22"/>
      <c r="D24" s="23"/>
      <c r="E24" s="22"/>
      <c r="F24" s="21"/>
      <c r="G24" s="21"/>
      <c r="H24" s="23"/>
      <c r="I24" s="21"/>
      <c r="J24" s="21"/>
      <c r="K24" s="15">
        <f t="shared" si="2"/>
        <v>22</v>
      </c>
      <c r="L24" s="16">
        <f t="shared" si="0"/>
        <v>0.91253244744810025</v>
      </c>
      <c r="M24" s="16">
        <f t="shared" si="1"/>
        <v>0.36868704069457453</v>
      </c>
    </row>
    <row r="25" spans="1:27">
      <c r="A25" s="20"/>
      <c r="B25" s="21"/>
      <c r="C25" s="22"/>
      <c r="D25" s="23"/>
      <c r="E25" s="22"/>
      <c r="F25" s="21"/>
      <c r="G25" s="21"/>
      <c r="H25" s="23"/>
      <c r="I25" s="21"/>
      <c r="J25" s="21"/>
      <c r="K25" s="15">
        <f t="shared" si="2"/>
        <v>23</v>
      </c>
      <c r="L25" s="16">
        <f t="shared" si="0"/>
        <v>0.90606026867754497</v>
      </c>
      <c r="M25" s="16">
        <f t="shared" si="1"/>
        <v>0.38459976602172596</v>
      </c>
    </row>
    <row r="26" spans="1:27">
      <c r="A26" s="20"/>
      <c r="B26" s="21"/>
      <c r="C26" s="22"/>
      <c r="D26" s="23"/>
      <c r="E26" s="22"/>
      <c r="F26" s="21"/>
      <c r="G26" s="21"/>
      <c r="H26" s="23"/>
      <c r="I26" s="21"/>
      <c r="J26" s="21"/>
      <c r="K26" s="15">
        <f t="shared" si="2"/>
        <v>24</v>
      </c>
      <c r="L26" s="16">
        <f t="shared" si="0"/>
        <v>0.89931483825225123</v>
      </c>
      <c r="M26" s="16">
        <f t="shared" si="1"/>
        <v>0.4004007631135087</v>
      </c>
    </row>
    <row r="27" spans="1:27">
      <c r="A27" s="20"/>
      <c r="B27" s="21"/>
      <c r="C27" s="22"/>
      <c r="D27" s="23"/>
      <c r="E27" s="22"/>
      <c r="F27" s="21"/>
      <c r="G27" s="21"/>
      <c r="H27" s="23"/>
      <c r="I27" s="21"/>
      <c r="J27" s="21"/>
      <c r="K27" s="15">
        <f t="shared" si="2"/>
        <v>25</v>
      </c>
      <c r="L27" s="16">
        <f t="shared" si="0"/>
        <v>0.89229802112287837</v>
      </c>
      <c r="M27" s="16">
        <f t="shared" si="1"/>
        <v>0.4160854006061489</v>
      </c>
    </row>
    <row r="28" spans="1:27">
      <c r="A28" s="20"/>
      <c r="B28" s="21"/>
      <c r="C28" s="22"/>
      <c r="D28" s="23"/>
      <c r="E28" s="22"/>
      <c r="F28" s="21"/>
      <c r="G28" s="21"/>
      <c r="H28" s="23"/>
      <c r="I28" s="21"/>
      <c r="J28" s="21"/>
      <c r="K28" s="15">
        <f t="shared" si="2"/>
        <v>26</v>
      </c>
      <c r="L28" s="16">
        <f t="shared" si="0"/>
        <v>0.88501175872577931</v>
      </c>
      <c r="M28" s="16">
        <f t="shared" si="1"/>
        <v>0.43164907599454988</v>
      </c>
    </row>
    <row r="29" spans="1:27">
      <c r="A29" s="20"/>
      <c r="B29" s="21"/>
      <c r="C29" s="22"/>
      <c r="D29" s="23"/>
      <c r="E29" s="22"/>
      <c r="F29" s="21"/>
      <c r="G29" s="21"/>
      <c r="H29" s="23"/>
      <c r="I29" s="21"/>
      <c r="J29" s="21"/>
      <c r="K29" s="15">
        <f t="shared" si="2"/>
        <v>27</v>
      </c>
      <c r="L29" s="16">
        <f t="shared" si="0"/>
        <v>0.87745806861759745</v>
      </c>
      <c r="M29" s="16">
        <f t="shared" si="1"/>
        <v>0.44708721682489461</v>
      </c>
    </row>
    <row r="30" spans="1:27">
      <c r="A30" s="20"/>
      <c r="B30" s="21"/>
      <c r="C30" s="22"/>
      <c r="D30" s="23"/>
      <c r="E30" s="22"/>
      <c r="F30" s="21"/>
      <c r="G30" s="21"/>
      <c r="H30" s="23"/>
      <c r="I30" s="21"/>
      <c r="J30" s="21"/>
      <c r="K30" s="15">
        <f t="shared" si="2"/>
        <v>28</v>
      </c>
      <c r="L30" s="16">
        <f t="shared" si="0"/>
        <v>0.86963904409373294</v>
      </c>
      <c r="M30" s="16">
        <f t="shared" si="1"/>
        <v>0.46239528188571039</v>
      </c>
    </row>
    <row r="31" spans="1:27">
      <c r="A31" s="20"/>
      <c r="B31" s="21"/>
      <c r="C31" s="22"/>
      <c r="D31" s="23"/>
      <c r="E31" s="22"/>
      <c r="F31" s="21"/>
      <c r="G31" s="21"/>
      <c r="H31" s="23"/>
      <c r="I31" s="21"/>
      <c r="J31" s="21"/>
      <c r="K31" s="15">
        <f t="shared" si="2"/>
        <v>29</v>
      </c>
      <c r="L31" s="16">
        <f t="shared" si="0"/>
        <v>0.86155685379054658</v>
      </c>
      <c r="M31" s="16">
        <f t="shared" si="1"/>
        <v>0.47756876239726986</v>
      </c>
    </row>
    <row r="32" spans="1:27">
      <c r="A32" s="20"/>
      <c r="B32" s="21"/>
      <c r="C32" s="22"/>
      <c r="D32" s="23"/>
      <c r="E32" s="22"/>
      <c r="F32" s="21"/>
      <c r="G32" s="21"/>
      <c r="H32" s="23"/>
      <c r="I32" s="21"/>
      <c r="J32" s="21"/>
      <c r="K32" s="15">
        <f t="shared" si="2"/>
        <v>30</v>
      </c>
      <c r="L32" s="16">
        <f t="shared" si="0"/>
        <v>0.85321374127116545</v>
      </c>
      <c r="M32" s="16">
        <f t="shared" si="1"/>
        <v>0.49260318319919499</v>
      </c>
    </row>
    <row r="33" spans="1:13">
      <c r="A33" s="20"/>
      <c r="B33" s="21"/>
      <c r="C33" s="22"/>
      <c r="D33" s="23"/>
      <c r="E33" s="22"/>
      <c r="F33" s="21"/>
      <c r="G33" s="21"/>
      <c r="H33" s="23"/>
      <c r="I33" s="21"/>
      <c r="J33" s="21"/>
      <c r="K33" s="15">
        <f t="shared" si="2"/>
        <v>31</v>
      </c>
      <c r="L33" s="16">
        <f t="shared" si="0"/>
        <v>0.84461202459474805</v>
      </c>
      <c r="M33" s="16">
        <f t="shared" si="1"/>
        <v>0.50749410393612127</v>
      </c>
    </row>
    <row r="34" spans="1:13">
      <c r="A34" s="20"/>
      <c r="B34" s="21"/>
      <c r="C34" s="22"/>
      <c r="D34" s="23"/>
      <c r="E34" s="22"/>
      <c r="F34" s="21"/>
      <c r="G34" s="21"/>
      <c r="H34" s="23"/>
      <c r="I34" s="21"/>
      <c r="J34" s="21"/>
      <c r="K34" s="15">
        <f t="shared" si="2"/>
        <v>32</v>
      </c>
      <c r="L34" s="16">
        <f t="shared" si="0"/>
        <v>0.83575409586907279</v>
      </c>
      <c r="M34" s="16">
        <f t="shared" si="1"/>
        <v>0.52223712024127344</v>
      </c>
    </row>
    <row r="35" spans="1:13">
      <c r="A35" s="20"/>
      <c r="B35" s="21"/>
      <c r="C35" s="22"/>
      <c r="D35" s="23"/>
      <c r="E35" s="22"/>
      <c r="F35" s="21"/>
      <c r="G35" s="21"/>
      <c r="H35" s="23"/>
      <c r="I35" s="21"/>
      <c r="J35" s="21"/>
      <c r="K35" s="15">
        <f t="shared" si="2"/>
        <v>33</v>
      </c>
      <c r="L35" s="16">
        <f t="shared" si="0"/>
        <v>0.82664242078630124</v>
      </c>
      <c r="M35" s="16">
        <f t="shared" si="1"/>
        <v>0.53682786491779566</v>
      </c>
    </row>
    <row r="36" spans="1:13">
      <c r="A36" s="20"/>
      <c r="B36" s="21"/>
      <c r="C36" s="22"/>
      <c r="D36" s="23"/>
      <c r="E36" s="22"/>
      <c r="F36" s="21"/>
      <c r="G36" s="21"/>
      <c r="H36" s="23"/>
      <c r="I36" s="21"/>
      <c r="J36" s="21"/>
      <c r="K36" s="15">
        <f t="shared" si="2"/>
        <v>34</v>
      </c>
      <c r="L36" s="16">
        <f t="shared" si="0"/>
        <v>0.81727953814177401</v>
      </c>
      <c r="M36" s="16">
        <f t="shared" si="1"/>
        <v>0.55126200911767154</v>
      </c>
    </row>
    <row r="37" spans="1:13">
      <c r="A37" s="20"/>
      <c r="B37" s="21"/>
      <c r="C37" s="22"/>
      <c r="D37" s="23"/>
      <c r="E37" s="22"/>
      <c r="F37" s="21"/>
      <c r="G37" s="21"/>
      <c r="H37" s="23"/>
      <c r="I37" s="21"/>
      <c r="J37" s="21"/>
      <c r="K37" s="15">
        <f t="shared" si="2"/>
        <v>35</v>
      </c>
      <c r="L37" s="16">
        <f t="shared" si="0"/>
        <v>0.80766805933569241</v>
      </c>
      <c r="M37" s="16">
        <f t="shared" si="1"/>
        <v>0.56553526351805894</v>
      </c>
    </row>
    <row r="38" spans="1:13">
      <c r="A38" s="20"/>
      <c r="B38" s="21"/>
      <c r="C38" s="22"/>
      <c r="D38" s="23"/>
      <c r="E38" s="22"/>
      <c r="F38" s="21"/>
      <c r="G38" s="21"/>
      <c r="H38" s="23"/>
      <c r="I38" s="21"/>
      <c r="J38" s="21"/>
      <c r="K38" s="15">
        <f t="shared" si="2"/>
        <v>36</v>
      </c>
      <c r="L38" s="16">
        <f t="shared" si="0"/>
        <v>0.79781066785753674</v>
      </c>
      <c r="M38" s="16">
        <f t="shared" si="1"/>
        <v>0.57964337949486</v>
      </c>
    </row>
    <row r="39" spans="1:13">
      <c r="A39" s="20"/>
      <c r="B39" s="21"/>
      <c r="C39" s="22"/>
      <c r="D39" s="23"/>
      <c r="E39" s="22"/>
      <c r="F39" s="21"/>
      <c r="G39" s="21"/>
      <c r="H39" s="23"/>
      <c r="I39" s="21"/>
      <c r="J39" s="21"/>
      <c r="K39" s="15">
        <f t="shared" si="2"/>
        <v>37</v>
      </c>
      <c r="L39" s="16">
        <f t="shared" si="0"/>
        <v>0.78771011875307306</v>
      </c>
      <c r="M39" s="16">
        <f t="shared" si="1"/>
        <v>0.59358215029333117</v>
      </c>
    </row>
    <row r="40" spans="1:13">
      <c r="A40" s="20"/>
      <c r="B40" s="21"/>
      <c r="C40" s="22"/>
      <c r="D40" s="23"/>
      <c r="E40" s="22"/>
      <c r="F40" s="21"/>
      <c r="G40" s="21"/>
      <c r="H40" s="23"/>
      <c r="I40" s="21"/>
      <c r="J40" s="21"/>
      <c r="K40" s="15">
        <f t="shared" si="2"/>
        <v>38</v>
      </c>
      <c r="L40" s="16">
        <f t="shared" si="0"/>
        <v>0.77736923807380087</v>
      </c>
      <c r="M40" s="16">
        <f t="shared" si="1"/>
        <v>0.60734741219553912</v>
      </c>
    </row>
    <row r="41" spans="1:13">
      <c r="A41" s="20"/>
      <c r="B41" s="21"/>
      <c r="C41" s="22"/>
      <c r="D41" s="23"/>
      <c r="E41" s="22"/>
      <c r="F41" s="21"/>
      <c r="G41" s="21"/>
      <c r="H41" s="23"/>
      <c r="I41" s="21"/>
      <c r="J41" s="21"/>
      <c r="K41" s="15">
        <f t="shared" si="2"/>
        <v>39</v>
      </c>
      <c r="L41" s="16">
        <f t="shared" si="0"/>
        <v>0.76679092230869061</v>
      </c>
      <c r="M41" s="16">
        <f t="shared" si="1"/>
        <v>0.62093504568445079</v>
      </c>
    </row>
    <row r="42" spans="1:13">
      <c r="A42" s="20"/>
      <c r="B42" s="21"/>
      <c r="C42" s="22"/>
      <c r="D42" s="23"/>
      <c r="E42" s="22"/>
      <c r="F42" s="21"/>
      <c r="G42" s="21"/>
      <c r="H42" s="23"/>
      <c r="I42" s="21"/>
      <c r="J42" s="21"/>
      <c r="K42" s="15">
        <f t="shared" si="2"/>
        <v>40</v>
      </c>
      <c r="L42" s="16">
        <f t="shared" si="0"/>
        <v>0.75597813779806267</v>
      </c>
      <c r="M42" s="16">
        <f t="shared" si="1"/>
        <v>0.63434097660444133</v>
      </c>
    </row>
    <row r="43" spans="1:13">
      <c r="A43" s="20"/>
      <c r="B43" s="21"/>
      <c r="C43" s="22"/>
      <c r="D43" s="23"/>
      <c r="E43" s="22"/>
      <c r="F43" s="21"/>
      <c r="G43" s="21"/>
      <c r="H43" s="23"/>
      <c r="I43" s="21"/>
      <c r="J43" s="21"/>
      <c r="K43" s="15">
        <f t="shared" si="2"/>
        <v>41</v>
      </c>
      <c r="L43" s="16">
        <f t="shared" si="0"/>
        <v>0.74493392012945925</v>
      </c>
      <c r="M43" s="16">
        <f t="shared" si="1"/>
        <v>0.64756117731799123</v>
      </c>
    </row>
    <row r="44" spans="1:13">
      <c r="A44" s="20"/>
      <c r="B44" s="21"/>
      <c r="C44" s="22"/>
      <c r="D44" s="23"/>
      <c r="E44" s="22"/>
      <c r="F44" s="21"/>
      <c r="G44" s="21"/>
      <c r="H44" s="23"/>
      <c r="I44" s="21"/>
      <c r="J44" s="21"/>
      <c r="K44" s="15">
        <f t="shared" si="2"/>
        <v>42</v>
      </c>
      <c r="L44" s="16">
        <f t="shared" si="0"/>
        <v>0.73366137351536143</v>
      </c>
      <c r="M44" s="16">
        <f t="shared" si="1"/>
        <v>0.66059166785833967</v>
      </c>
    </row>
    <row r="45" spans="1:13">
      <c r="A45" s="20"/>
      <c r="B45" s="21"/>
      <c r="C45" s="22"/>
      <c r="D45" s="23"/>
      <c r="E45" s="22"/>
      <c r="F45" s="21"/>
      <c r="G45" s="21"/>
      <c r="H45" s="23"/>
      <c r="I45" s="21"/>
      <c r="J45" s="21"/>
      <c r="K45" s="15">
        <f t="shared" si="2"/>
        <v>43</v>
      </c>
      <c r="L45" s="16">
        <f t="shared" si="0"/>
        <v>0.72216367015260574</v>
      </c>
      <c r="M45" s="16">
        <f t="shared" si="1"/>
        <v>0.67342851707784701</v>
      </c>
    </row>
    <row r="46" spans="1:13">
      <c r="A46" s="20"/>
      <c r="B46" s="21"/>
      <c r="C46" s="22"/>
      <c r="D46" s="23"/>
      <c r="E46" s="22"/>
      <c r="F46" s="21"/>
      <c r="G46" s="21"/>
      <c r="H46" s="23"/>
      <c r="I46" s="21"/>
      <c r="J46" s="21"/>
      <c r="K46" s="15">
        <f t="shared" si="2"/>
        <v>44</v>
      </c>
      <c r="L46" s="16">
        <f t="shared" si="0"/>
        <v>0.71044404956335361</v>
      </c>
      <c r="M46" s="16">
        <f t="shared" si="1"/>
        <v>0.68606784379181107</v>
      </c>
    </row>
    <row r="47" spans="1:13">
      <c r="A47" s="20"/>
      <c r="B47" s="21"/>
      <c r="C47" s="22"/>
      <c r="D47" s="23"/>
      <c r="E47" s="22"/>
      <c r="F47" s="21"/>
      <c r="G47" s="21"/>
      <c r="H47" s="23"/>
      <c r="I47" s="21"/>
      <c r="J47" s="21"/>
      <c r="K47" s="15">
        <f t="shared" si="2"/>
        <v>45</v>
      </c>
      <c r="L47" s="16">
        <f t="shared" si="0"/>
        <v>0.69850581791747368</v>
      </c>
      <c r="M47" s="16">
        <f t="shared" si="1"/>
        <v>0.69850581791747357</v>
      </c>
    </row>
    <row r="48" spans="1:13">
      <c r="A48" s="20"/>
      <c r="B48" s="21"/>
      <c r="C48" s="22"/>
      <c r="D48" s="23"/>
      <c r="E48" s="22"/>
      <c r="F48" s="21"/>
      <c r="G48" s="21"/>
      <c r="H48" s="23"/>
      <c r="I48" s="21"/>
      <c r="J48" s="21"/>
      <c r="K48" s="15">
        <f t="shared" si="2"/>
        <v>46</v>
      </c>
      <c r="L48" s="16">
        <f t="shared" si="0"/>
        <v>0.6863523473361931</v>
      </c>
      <c r="M48" s="16">
        <f t="shared" si="1"/>
        <v>0.71073866160794197</v>
      </c>
    </row>
    <row r="49" spans="1:13">
      <c r="A49" s="20"/>
      <c r="B49" s="21"/>
      <c r="C49" s="22"/>
      <c r="D49" s="23"/>
      <c r="E49" s="22"/>
      <c r="F49" s="21"/>
      <c r="G49" s="21"/>
      <c r="H49" s="23"/>
      <c r="I49" s="21"/>
      <c r="J49" s="21"/>
      <c r="K49" s="15">
        <f t="shared" si="2"/>
        <v>47</v>
      </c>
      <c r="L49" s="16">
        <f t="shared" si="0"/>
        <v>0.67398707517688317</v>
      </c>
      <c r="M49" s="16">
        <f t="shared" si="1"/>
        <v>0.72276265038074294</v>
      </c>
    </row>
    <row r="50" spans="1:13">
      <c r="A50" s="20"/>
      <c r="B50" s="21"/>
      <c r="C50" s="22"/>
      <c r="D50" s="23"/>
      <c r="E50" s="22"/>
      <c r="F50" s="21"/>
      <c r="G50" s="21"/>
      <c r="H50" s="23"/>
      <c r="I50" s="21"/>
      <c r="J50" s="21"/>
      <c r="K50" s="15">
        <f t="shared" si="2"/>
        <v>48</v>
      </c>
      <c r="L50" s="16">
        <f t="shared" si="0"/>
        <v>0.66141350329884363</v>
      </c>
      <c r="M50" s="16">
        <f t="shared" si="1"/>
        <v>0.73457411424071539</v>
      </c>
    </row>
    <row r="51" spans="1:13">
      <c r="A51" s="20"/>
      <c r="B51" s="21"/>
      <c r="C51" s="22"/>
      <c r="D51" s="23"/>
      <c r="E51" s="22"/>
      <c r="F51" s="21"/>
      <c r="G51" s="21"/>
      <c r="H51" s="23"/>
      <c r="I51" s="21"/>
      <c r="J51" s="21"/>
      <c r="K51" s="15">
        <f t="shared" si="2"/>
        <v>49</v>
      </c>
      <c r="L51" s="16">
        <f t="shared" si="0"/>
        <v>0.648635197309953</v>
      </c>
      <c r="M51" s="16">
        <f t="shared" si="1"/>
        <v>0.74616943879693598</v>
      </c>
    </row>
    <row r="52" spans="1:13">
      <c r="A52" s="20"/>
      <c r="B52" s="21"/>
      <c r="C52" s="22"/>
      <c r="D52" s="23"/>
      <c r="E52" s="22"/>
      <c r="F52" s="21"/>
      <c r="G52" s="21"/>
      <c r="H52" s="23"/>
      <c r="I52" s="21"/>
      <c r="J52" s="21"/>
      <c r="K52" s="15">
        <f t="shared" si="2"/>
        <v>50</v>
      </c>
      <c r="L52" s="16">
        <f t="shared" si="0"/>
        <v>0.63565578579406223</v>
      </c>
      <c r="M52" s="16">
        <f t="shared" si="1"/>
        <v>0.75754506637336916</v>
      </c>
    </row>
    <row r="53" spans="1:13">
      <c r="A53" s="20"/>
      <c r="B53" s="21"/>
      <c r="C53" s="22"/>
      <c r="D53" s="23"/>
      <c r="E53" s="22"/>
      <c r="F53" s="21"/>
      <c r="G53" s="21"/>
      <c r="H53" s="23"/>
      <c r="I53" s="21"/>
      <c r="J53" s="21"/>
      <c r="K53" s="15">
        <f t="shared" si="2"/>
        <v>51</v>
      </c>
      <c r="L53" s="16">
        <f t="shared" si="0"/>
        <v>0.62247895951900256</v>
      </c>
      <c r="M53" s="16">
        <f t="shared" si="1"/>
        <v>0.76869749711291357</v>
      </c>
    </row>
    <row r="54" spans="1:13">
      <c r="A54" s="20"/>
      <c r="B54" s="21"/>
      <c r="C54" s="22"/>
      <c r="D54" s="23"/>
      <c r="E54" s="22"/>
      <c r="F54" s="21"/>
      <c r="G54" s="21"/>
      <c r="H54" s="23"/>
      <c r="I54" s="21"/>
      <c r="J54" s="21"/>
      <c r="K54" s="15">
        <f t="shared" si="2"/>
        <v>52</v>
      </c>
      <c r="L54" s="16">
        <f t="shared" si="0"/>
        <v>0.60910847062509643</v>
      </c>
      <c r="M54" s="16">
        <f t="shared" si="1"/>
        <v>0.77962329007451592</v>
      </c>
    </row>
    <row r="55" spans="1:13">
      <c r="A55" s="20"/>
      <c r="B55" s="21"/>
      <c r="C55" s="22"/>
      <c r="D55" s="23"/>
      <c r="E55" s="22"/>
      <c r="F55" s="21"/>
      <c r="G55" s="21"/>
      <c r="H55" s="23"/>
      <c r="I55" s="21"/>
      <c r="J55" s="21"/>
      <c r="K55" s="15">
        <f t="shared" si="2"/>
        <v>53</v>
      </c>
      <c r="L55" s="16">
        <f t="shared" si="0"/>
        <v>0.59554813179405297</v>
      </c>
      <c r="M55" s="16">
        <f t="shared" si="1"/>
        <v>0.79031906432300725</v>
      </c>
    </row>
    <row r="56" spans="1:13">
      <c r="A56" s="20"/>
      <c r="B56" s="21"/>
      <c r="C56" s="22"/>
      <c r="D56" s="23"/>
      <c r="E56" s="22"/>
      <c r="F56" s="21"/>
      <c r="G56" s="21"/>
      <c r="H56" s="23"/>
      <c r="I56" s="21"/>
      <c r="J56" s="21"/>
      <c r="K56" s="15">
        <f t="shared" si="2"/>
        <v>54</v>
      </c>
      <c r="L56" s="16">
        <f t="shared" si="0"/>
        <v>0.58180181539814435</v>
      </c>
      <c r="M56" s="16">
        <f t="shared" si="1"/>
        <v>0.80078150001131321</v>
      </c>
    </row>
    <row r="57" spans="1:13">
      <c r="A57" s="20"/>
      <c r="B57" s="21"/>
      <c r="C57" s="22"/>
      <c r="D57" s="23"/>
      <c r="E57" s="22"/>
      <c r="F57" s="21"/>
      <c r="G57" s="21"/>
      <c r="H57" s="23"/>
      <c r="I57" s="21"/>
      <c r="J57" s="21"/>
      <c r="K57" s="15">
        <f t="shared" si="2"/>
        <v>55</v>
      </c>
      <c r="L57" s="16">
        <f t="shared" si="0"/>
        <v>0.56787345262956102</v>
      </c>
      <c r="M57" s="16">
        <f t="shared" si="1"/>
        <v>0.81100733945467007</v>
      </c>
    </row>
    <row r="58" spans="1:13">
      <c r="A58" s="20"/>
      <c r="B58" s="21"/>
      <c r="C58" s="22"/>
      <c r="D58" s="23"/>
      <c r="E58" s="22"/>
      <c r="F58" s="21"/>
      <c r="G58" s="21"/>
      <c r="H58" s="23"/>
      <c r="I58" s="21"/>
      <c r="J58" s="21"/>
      <c r="K58" s="15">
        <f t="shared" si="2"/>
        <v>56</v>
      </c>
      <c r="L58" s="16">
        <f t="shared" si="0"/>
        <v>0.55376703260984861</v>
      </c>
      <c r="M58" s="16">
        <f t="shared" si="1"/>
        <v>0.82099338819648349</v>
      </c>
    </row>
    <row r="59" spans="1:13">
      <c r="A59" s="20"/>
      <c r="B59" s="21"/>
      <c r="C59" s="22"/>
      <c r="D59" s="23"/>
      <c r="E59" s="22"/>
      <c r="F59" s="21"/>
      <c r="G59" s="21"/>
      <c r="H59" s="23"/>
      <c r="I59" s="21"/>
      <c r="J59" s="21"/>
      <c r="K59" s="15">
        <f t="shared" si="2"/>
        <v>57</v>
      </c>
      <c r="L59" s="16">
        <f t="shared" si="0"/>
        <v>0.53948660147934258</v>
      </c>
      <c r="M59" s="16">
        <f t="shared" si="1"/>
        <v>0.83073651606544008</v>
      </c>
    </row>
    <row r="60" spans="1:13">
      <c r="A60" s="20"/>
      <c r="B60" s="21"/>
      <c r="C60" s="22"/>
      <c r="D60" s="23"/>
      <c r="E60" s="22"/>
      <c r="F60" s="21"/>
      <c r="G60" s="21"/>
      <c r="H60" s="23"/>
      <c r="I60" s="21"/>
      <c r="J60" s="21"/>
      <c r="K60" s="15">
        <f t="shared" si="2"/>
        <v>58</v>
      </c>
      <c r="L60" s="16">
        <f t="shared" si="0"/>
        <v>0.52503626146651594</v>
      </c>
      <c r="M60" s="16">
        <f t="shared" si="1"/>
        <v>0.84023365822349072</v>
      </c>
    </row>
    <row r="61" spans="1:13">
      <c r="A61" s="20"/>
      <c r="B61" s="21"/>
      <c r="C61" s="22"/>
      <c r="D61" s="23"/>
      <c r="E61" s="22"/>
      <c r="F61" s="21"/>
      <c r="G61" s="21"/>
      <c r="H61" s="23"/>
      <c r="I61" s="21"/>
      <c r="J61" s="21"/>
      <c r="K61" s="15">
        <f t="shared" si="2"/>
        <v>59</v>
      </c>
      <c r="L61" s="16">
        <f t="shared" si="0"/>
        <v>0.51042016993717021</v>
      </c>
      <c r="M61" s="16">
        <f t="shared" si="1"/>
        <v>0.84948181620429719</v>
      </c>
    </row>
    <row r="62" spans="1:13">
      <c r="A62" s="20"/>
      <c r="B62" s="21"/>
      <c r="C62" s="22"/>
      <c r="D62" s="23"/>
      <c r="E62" s="22"/>
      <c r="F62" s="21"/>
      <c r="G62" s="21"/>
      <c r="H62" s="23"/>
      <c r="I62" s="21"/>
      <c r="J62" s="21"/>
      <c r="K62" s="15">
        <f t="shared" si="2"/>
        <v>60</v>
      </c>
      <c r="L62" s="16">
        <f t="shared" si="0"/>
        <v>0.49564253842340122</v>
      </c>
      <c r="M62" s="16">
        <f t="shared" si="1"/>
        <v>0.85847805894174012</v>
      </c>
    </row>
    <row r="63" spans="1:13">
      <c r="A63" s="20"/>
      <c r="B63" s="21"/>
      <c r="C63" s="22"/>
      <c r="D63" s="23"/>
      <c r="E63" s="22"/>
      <c r="F63" s="21"/>
      <c r="G63" s="21"/>
      <c r="H63" s="23"/>
      <c r="I63" s="21"/>
      <c r="J63" s="21"/>
      <c r="K63" s="15">
        <f t="shared" si="2"/>
        <v>61</v>
      </c>
      <c r="L63" s="16">
        <f t="shared" si="0"/>
        <v>0.48070763163228608</v>
      </c>
      <c r="M63" s="16">
        <f t="shared" si="1"/>
        <v>0.86721952378806799</v>
      </c>
    </row>
    <row r="64" spans="1:13">
      <c r="A64" s="20"/>
      <c r="B64" s="21"/>
      <c r="C64" s="22"/>
      <c r="D64" s="23"/>
      <c r="E64" s="22"/>
      <c r="F64" s="21"/>
      <c r="G64" s="21"/>
      <c r="H64" s="23"/>
      <c r="I64" s="21"/>
      <c r="J64" s="21"/>
      <c r="K64" s="15">
        <f t="shared" si="2"/>
        <v>62</v>
      </c>
      <c r="L64" s="16">
        <f t="shared" si="0"/>
        <v>0.46561976643424369</v>
      </c>
      <c r="M64" s="16">
        <f t="shared" si="1"/>
        <v>0.87570341752125958</v>
      </c>
    </row>
    <row r="65" spans="1:13">
      <c r="A65" s="20"/>
      <c r="B65" s="21"/>
      <c r="C65" s="22"/>
      <c r="D65" s="23"/>
      <c r="E65" s="22"/>
      <c r="F65" s="21"/>
      <c r="G65" s="21"/>
      <c r="H65" s="23"/>
      <c r="I65" s="21"/>
      <c r="J65" s="21"/>
      <c r="K65" s="15">
        <f t="shared" si="2"/>
        <v>63</v>
      </c>
      <c r="L65" s="16">
        <f t="shared" si="0"/>
        <v>0.45038331083102706</v>
      </c>
      <c r="M65" s="16">
        <f t="shared" si="1"/>
        <v>0.8839270173411653</v>
      </c>
    </row>
    <row r="66" spans="1:13">
      <c r="A66" s="20"/>
      <c r="B66" s="21"/>
      <c r="C66" s="22"/>
      <c r="D66" s="23"/>
      <c r="E66" s="22"/>
      <c r="F66" s="21"/>
      <c r="G66" s="21"/>
      <c r="H66" s="23"/>
      <c r="I66" s="21"/>
      <c r="J66" s="21"/>
      <c r="K66" s="15">
        <f t="shared" si="2"/>
        <v>64</v>
      </c>
      <c r="L66" s="16">
        <f t="shared" si="0"/>
        <v>0.43500268290332422</v>
      </c>
      <c r="M66" s="16">
        <f t="shared" si="1"/>
        <v>0.89188767185398599</v>
      </c>
    </row>
    <row r="67" spans="1:13">
      <c r="A67" s="20"/>
      <c r="B67" s="21"/>
      <c r="C67" s="22"/>
      <c r="D67" s="23"/>
      <c r="E67" s="22"/>
      <c r="F67" s="21"/>
      <c r="G67" s="21"/>
      <c r="H67" s="23"/>
      <c r="I67" s="21"/>
      <c r="J67" s="21"/>
      <c r="K67" s="15">
        <f t="shared" si="2"/>
        <v>65</v>
      </c>
      <c r="L67" s="16">
        <f t="shared" ref="L67:L130" si="3">IF($D$2="","", ($D$2*(1-$E$2^2)/(1+$E$2*COS(RADIANS(K67)))) * COS(RADIANS(K67)) )</f>
        <v>0.41948234973794479</v>
      </c>
      <c r="M67" s="16">
        <f t="shared" ref="M67:M130" si="4">IF($D$2="","", ($D$2*(1-$E$2^2)/(1+$E$2*COS(RADIANS(K67)))) * SIN(RADIANS(K67)) )</f>
        <v>0.89958280204463359</v>
      </c>
    </row>
    <row r="68" spans="1:13">
      <c r="A68" s="20"/>
      <c r="B68" s="21"/>
      <c r="C68" s="22"/>
      <c r="D68" s="23"/>
      <c r="E68" s="22"/>
      <c r="F68" s="21"/>
      <c r="G68" s="21"/>
      <c r="H68" s="23"/>
      <c r="I68" s="21"/>
      <c r="J68" s="21"/>
      <c r="K68" s="15">
        <f t="shared" ref="K68:K131" si="5">K67+1</f>
        <v>66</v>
      </c>
      <c r="L68" s="16">
        <f t="shared" si="3"/>
        <v>0.40382682633458744</v>
      </c>
      <c r="M68" s="16">
        <f t="shared" si="4"/>
        <v>0.9070099022365149</v>
      </c>
    </row>
    <row r="69" spans="1:13">
      <c r="A69" s="20"/>
      <c r="B69" s="21"/>
      <c r="C69" s="22"/>
      <c r="D69" s="23"/>
      <c r="E69" s="22"/>
      <c r="F69" s="21"/>
      <c r="G69" s="21"/>
      <c r="H69" s="23"/>
      <c r="I69" s="21"/>
      <c r="J69" s="21"/>
      <c r="K69" s="15">
        <f t="shared" si="5"/>
        <v>67</v>
      </c>
      <c r="L69" s="16">
        <f t="shared" si="3"/>
        <v>0.38804067449219104</v>
      </c>
      <c r="M69" s="16">
        <f t="shared" si="4"/>
        <v>0.91416654103827322</v>
      </c>
    </row>
    <row r="70" spans="1:13">
      <c r="A70" s="20"/>
      <c r="B70" s="21"/>
      <c r="C70" s="22"/>
      <c r="D70" s="23"/>
      <c r="E70" s="22"/>
      <c r="F70" s="21"/>
      <c r="G70" s="21"/>
      <c r="H70" s="23"/>
      <c r="I70" s="21"/>
      <c r="J70" s="21"/>
      <c r="K70" s="15">
        <f t="shared" si="5"/>
        <v>68</v>
      </c>
      <c r="L70" s="16">
        <f t="shared" si="3"/>
        <v>0.37212850167488309</v>
      </c>
      <c r="M70" s="16">
        <f t="shared" si="4"/>
        <v>0.92105036227700732</v>
      </c>
    </row>
    <row r="71" spans="1:13">
      <c r="A71" s="20"/>
      <c r="B71" s="21"/>
      <c r="C71" s="22"/>
      <c r="D71" s="23"/>
      <c r="E71" s="22"/>
      <c r="F71" s="21"/>
      <c r="G71" s="21"/>
      <c r="H71" s="23"/>
      <c r="I71" s="21"/>
      <c r="J71" s="21"/>
      <c r="K71" s="15">
        <f t="shared" si="5"/>
        <v>69</v>
      </c>
      <c r="L71" s="16">
        <f t="shared" si="3"/>
        <v>0.35609495985755313</v>
      </c>
      <c r="M71" s="16">
        <f t="shared" si="4"/>
        <v>0.92765908591748958</v>
      </c>
    </row>
    <row r="72" spans="1:13">
      <c r="A72" s="20"/>
      <c r="B72" s="21"/>
      <c r="C72" s="22"/>
      <c r="D72" s="23"/>
      <c r="E72" s="22"/>
      <c r="F72" s="21"/>
      <c r="G72" s="21"/>
      <c r="H72" s="23"/>
      <c r="I72" s="21"/>
      <c r="J72" s="21"/>
      <c r="K72" s="15">
        <f t="shared" si="5"/>
        <v>70</v>
      </c>
      <c r="L72" s="16">
        <f t="shared" si="3"/>
        <v>0.33994474435108962</v>
      </c>
      <c r="M72" s="16">
        <f t="shared" si="4"/>
        <v>0.93399050896689273</v>
      </c>
    </row>
    <row r="73" spans="1:13">
      <c r="A73" s="20"/>
      <c r="B73" s="21"/>
      <c r="C73" s="22"/>
      <c r="D73" s="23"/>
      <c r="E73" s="22"/>
      <c r="F73" s="21"/>
      <c r="G73" s="21"/>
      <c r="H73" s="23"/>
      <c r="I73" s="21"/>
      <c r="J73" s="21"/>
      <c r="K73" s="15">
        <f t="shared" si="5"/>
        <v>71</v>
      </c>
      <c r="L73" s="16">
        <f t="shared" si="3"/>
        <v>0.32368259260733234</v>
      </c>
      <c r="M73" s="16">
        <f t="shared" si="4"/>
        <v>0.94004250636452613</v>
      </c>
    </row>
    <row r="74" spans="1:13">
      <c r="A74" s="20"/>
      <c r="B74" s="21"/>
      <c r="C74" s="22"/>
      <c r="D74" s="23"/>
      <c r="E74" s="22"/>
      <c r="F74" s="21"/>
      <c r="G74" s="21"/>
      <c r="H74" s="23"/>
      <c r="I74" s="21"/>
      <c r="J74" s="21"/>
      <c r="K74" s="15">
        <f t="shared" si="5"/>
        <v>72</v>
      </c>
      <c r="L74" s="16">
        <f t="shared" si="3"/>
        <v>0.30731328300380245</v>
      </c>
      <c r="M74" s="16">
        <f t="shared" si="4"/>
        <v>0.94581303185608223</v>
      </c>
    </row>
    <row r="75" spans="1:13">
      <c r="A75" s="20"/>
      <c r="B75" s="21"/>
      <c r="C75" s="22"/>
      <c r="D75" s="23"/>
      <c r="E75" s="22"/>
      <c r="F75" s="21"/>
      <c r="G75" s="21"/>
      <c r="H75" s="23"/>
      <c r="I75" s="21"/>
      <c r="J75" s="21"/>
      <c r="K75" s="15">
        <f t="shared" si="5"/>
        <v>73</v>
      </c>
      <c r="L75" s="16">
        <f t="shared" si="3"/>
        <v>0.29084163360829107</v>
      </c>
      <c r="M75" s="16">
        <f t="shared" si="4"/>
        <v>0.95130011885188381</v>
      </c>
    </row>
    <row r="76" spans="1:13">
      <c r="A76" s="20"/>
      <c r="B76" s="21"/>
      <c r="C76" s="22"/>
      <c r="D76" s="23"/>
      <c r="E76" s="22"/>
      <c r="F76" s="21"/>
      <c r="G76" s="21"/>
      <c r="H76" s="23"/>
      <c r="I76" s="21"/>
      <c r="J76" s="21"/>
      <c r="K76" s="15">
        <f t="shared" si="5"/>
        <v>74</v>
      </c>
      <c r="L76" s="16">
        <f t="shared" si="3"/>
        <v>0.27427250092339478</v>
      </c>
      <c r="M76" s="16">
        <f t="shared" si="4"/>
        <v>0.95650188126861602</v>
      </c>
    </row>
    <row r="77" spans="1:13">
      <c r="A77" s="20"/>
      <c r="B77" s="21"/>
      <c r="C77" s="22"/>
      <c r="D77" s="23"/>
      <c r="E77" s="22"/>
      <c r="F77" s="21"/>
      <c r="G77" s="21"/>
      <c r="H77" s="23"/>
      <c r="I77" s="21"/>
      <c r="J77" s="21"/>
      <c r="K77" s="15">
        <f t="shared" si="5"/>
        <v>75</v>
      </c>
      <c r="L77" s="16">
        <f t="shared" si="3"/>
        <v>0.25761077861110598</v>
      </c>
      <c r="M77" s="16">
        <f t="shared" si="4"/>
        <v>0.96141651435402542</v>
      </c>
    </row>
    <row r="78" spans="1:13">
      <c r="A78" s="20"/>
      <c r="B78" s="21"/>
      <c r="C78" s="22"/>
      <c r="D78" s="23"/>
      <c r="E78" s="22"/>
      <c r="F78" s="21"/>
      <c r="G78" s="21"/>
      <c r="H78" s="23"/>
      <c r="I78" s="21"/>
      <c r="J78" s="21"/>
      <c r="K78" s="15">
        <f t="shared" si="5"/>
        <v>76</v>
      </c>
      <c r="L78" s="16">
        <f t="shared" si="3"/>
        <v>0.2408613961975761</v>
      </c>
      <c r="M78" s="16">
        <f t="shared" si="4"/>
        <v>0.9660422954940614</v>
      </c>
    </row>
    <row r="79" spans="1:13">
      <c r="A79" s="20"/>
      <c r="B79" s="21"/>
      <c r="C79" s="22"/>
      <c r="D79" s="23"/>
      <c r="E79" s="22"/>
      <c r="F79" s="21"/>
      <c r="G79" s="21"/>
      <c r="H79" s="23"/>
      <c r="I79" s="21"/>
      <c r="J79" s="21"/>
      <c r="K79" s="15">
        <f t="shared" si="5"/>
        <v>77</v>
      </c>
      <c r="L79" s="16">
        <f t="shared" si="3"/>
        <v>0.22402931775818763</v>
      </c>
      <c r="M79" s="16">
        <f t="shared" si="4"/>
        <v>0.97037758500192905</v>
      </c>
    </row>
    <row r="80" spans="1:13">
      <c r="A80" s="20"/>
      <c r="B80" s="21"/>
      <c r="C80" s="22"/>
      <c r="D80" s="23"/>
      <c r="E80" s="22"/>
      <c r="F80" s="21"/>
      <c r="G80" s="21"/>
      <c r="H80" s="23"/>
      <c r="I80" s="21"/>
      <c r="J80" s="21"/>
      <c r="K80" s="15">
        <f t="shared" si="5"/>
        <v>78</v>
      </c>
      <c r="L80" s="16">
        <f t="shared" si="3"/>
        <v>0.20711954058308468</v>
      </c>
      <c r="M80" s="16">
        <f t="shared" si="4"/>
        <v>0.97442082688852416</v>
      </c>
    </row>
    <row r="81" spans="1:13">
      <c r="A81" s="20"/>
      <c r="B81" s="21"/>
      <c r="C81" s="22"/>
      <c r="D81" s="23"/>
      <c r="E81" s="22"/>
      <c r="F81" s="21"/>
      <c r="G81" s="21"/>
      <c r="H81" s="23"/>
      <c r="I81" s="21"/>
      <c r="J81" s="21"/>
      <c r="K81" s="15">
        <f t="shared" si="5"/>
        <v>79</v>
      </c>
      <c r="L81" s="16">
        <f t="shared" si="3"/>
        <v>0.19013709382332492</v>
      </c>
      <c r="M81" s="16">
        <f t="shared" si="4"/>
        <v>0.97817054961370942</v>
      </c>
    </row>
    <row r="82" spans="1:13">
      <c r="A82" s="20"/>
      <c r="B82" s="21"/>
      <c r="C82" s="22"/>
      <c r="D82" s="23"/>
      <c r="E82" s="22"/>
      <c r="F82" s="21"/>
      <c r="G82" s="21"/>
      <c r="H82" s="23"/>
      <c r="I82" s="21"/>
      <c r="J82" s="21"/>
      <c r="K82" s="15">
        <f t="shared" si="5"/>
        <v>80</v>
      </c>
      <c r="L82" s="16">
        <f t="shared" si="3"/>
        <v>0.1730870371178389</v>
      </c>
      <c r="M82" s="16">
        <f t="shared" si="4"/>
        <v>0.98162536681789503</v>
      </c>
    </row>
    <row r="83" spans="1:13">
      <c r="A83" s="20"/>
      <c r="B83" s="21"/>
      <c r="C83" s="22"/>
      <c r="D83" s="23"/>
      <c r="E83" s="22"/>
      <c r="F83" s="21"/>
      <c r="G83" s="21"/>
      <c r="H83" s="23"/>
      <c r="I83" s="21"/>
      <c r="J83" s="21"/>
      <c r="K83" s="15">
        <f t="shared" si="5"/>
        <v>81</v>
      </c>
      <c r="L83" s="16">
        <f t="shared" si="3"/>
        <v>0.15597445920138747</v>
      </c>
      <c r="M83" s="16">
        <f t="shared" si="4"/>
        <v>0.98478397803338058</v>
      </c>
    </row>
    <row r="84" spans="1:13">
      <c r="A84" s="20"/>
      <c r="B84" s="21"/>
      <c r="C84" s="22"/>
      <c r="D84" s="23"/>
      <c r="E84" s="22"/>
      <c r="F84" s="21"/>
      <c r="G84" s="21"/>
      <c r="H84" s="23"/>
      <c r="I84" s="21"/>
      <c r="J84" s="21"/>
      <c r="K84" s="15">
        <f t="shared" si="5"/>
        <v>82</v>
      </c>
      <c r="L84" s="16">
        <f t="shared" si="3"/>
        <v>0.1388044764937349</v>
      </c>
      <c r="M84" s="16">
        <f t="shared" si="4"/>
        <v>0.98764516937491165</v>
      </c>
    </row>
    <row r="85" spans="1:13">
      <c r="A85" s="20"/>
      <c r="B85" s="21"/>
      <c r="C85" s="22"/>
      <c r="D85" s="23"/>
      <c r="E85" s="22"/>
      <c r="F85" s="21"/>
      <c r="G85" s="21"/>
      <c r="H85" s="23"/>
      <c r="I85" s="21"/>
      <c r="J85" s="21"/>
      <c r="K85" s="15">
        <f t="shared" si="5"/>
        <v>83</v>
      </c>
      <c r="L85" s="16">
        <f t="shared" si="3"/>
        <v>0.12158223167026583</v>
      </c>
      <c r="M85" s="16">
        <f t="shared" si="4"/>
        <v>0.99020781420890891</v>
      </c>
    </row>
    <row r="86" spans="1:13">
      <c r="A86" s="20"/>
      <c r="B86" s="21"/>
      <c r="C86" s="22"/>
      <c r="D86" s="23"/>
      <c r="E86" s="22"/>
      <c r="F86" s="21"/>
      <c r="G86" s="21"/>
      <c r="H86" s="23"/>
      <c r="I86" s="21"/>
      <c r="J86" s="21"/>
      <c r="K86" s="15">
        <f t="shared" si="5"/>
        <v>84</v>
      </c>
      <c r="L86" s="16">
        <f t="shared" si="3"/>
        <v>0.10431289221429231</v>
      </c>
      <c r="M86" s="16">
        <f t="shared" si="4"/>
        <v>0.99247087380081467</v>
      </c>
    </row>
    <row r="87" spans="1:13">
      <c r="A87" s="20"/>
      <c r="B87" s="21"/>
      <c r="C87" s="22"/>
      <c r="D87" s="23"/>
      <c r="E87" s="22"/>
      <c r="F87" s="21"/>
      <c r="G87" s="21"/>
      <c r="H87" s="23"/>
      <c r="I87" s="21"/>
      <c r="J87" s="21"/>
      <c r="K87" s="15">
        <f t="shared" si="5"/>
        <v>85</v>
      </c>
      <c r="L87" s="16">
        <f t="shared" si="3"/>
        <v>8.7001648951315486E-2</v>
      </c>
      <c r="M87" s="16">
        <f t="shared" si="4"/>
        <v>0.99443339794001795</v>
      </c>
    </row>
    <row r="88" spans="1:13">
      <c r="A88" s="20"/>
      <c r="B88" s="21"/>
      <c r="C88" s="22"/>
      <c r="D88" s="23"/>
      <c r="E88" s="22"/>
      <c r="F88" s="21"/>
      <c r="G88" s="21"/>
      <c r="H88" s="23"/>
      <c r="I88" s="21"/>
      <c r="J88" s="21"/>
      <c r="K88" s="15">
        <f t="shared" si="5"/>
        <v>86</v>
      </c>
      <c r="L88" s="16">
        <f t="shared" si="3"/>
        <v>6.9653714565521593E-2</v>
      </c>
      <c r="M88" s="16">
        <f t="shared" si="4"/>
        <v>0.99609452554179956</v>
      </c>
    </row>
    <row r="89" spans="1:13">
      <c r="A89" s="20"/>
      <c r="B89" s="21"/>
      <c r="C89" s="22"/>
      <c r="D89" s="23"/>
      <c r="E89" s="22"/>
      <c r="F89" s="21"/>
      <c r="G89" s="21"/>
      <c r="H89" s="23"/>
      <c r="I89" s="21"/>
      <c r="J89" s="21"/>
      <c r="K89" s="15">
        <f t="shared" si="5"/>
        <v>87</v>
      </c>
      <c r="L89" s="16">
        <f t="shared" si="3"/>
        <v>5.2274322098811873E-2</v>
      </c>
      <c r="M89" s="16">
        <f t="shared" si="4"/>
        <v>0.99745348522575827</v>
      </c>
    </row>
    <row r="90" spans="1:13">
      <c r="A90" s="20"/>
      <c r="B90" s="21"/>
      <c r="C90" s="22"/>
      <c r="D90" s="23"/>
      <c r="E90" s="22"/>
      <c r="F90" s="21"/>
      <c r="G90" s="21"/>
      <c r="H90" s="23"/>
      <c r="I90" s="21"/>
      <c r="J90" s="21"/>
      <c r="K90" s="15">
        <f t="shared" si="5"/>
        <v>88</v>
      </c>
      <c r="L90" s="16">
        <f t="shared" si="3"/>
        <v>3.486872343268025E-2</v>
      </c>
      <c r="M90" s="16">
        <f t="shared" si="4"/>
        <v>0.99850959587016297</v>
      </c>
    </row>
    <row r="91" spans="1:13">
      <c r="A91" s="20"/>
      <c r="B91" s="21"/>
      <c r="C91" s="22"/>
      <c r="D91" s="23"/>
      <c r="E91" s="22"/>
      <c r="F91" s="21"/>
      <c r="G91" s="21"/>
      <c r="H91" s="23"/>
      <c r="I91" s="21"/>
      <c r="J91" s="21"/>
      <c r="K91" s="15">
        <f t="shared" si="5"/>
        <v>89</v>
      </c>
      <c r="L91" s="16">
        <f t="shared" si="3"/>
        <v>1.7442187753276189E-2</v>
      </c>
      <c r="M91" s="16">
        <f t="shared" si="4"/>
        <v>0.99926226714169009</v>
      </c>
    </row>
    <row r="92" spans="1:13">
      <c r="A92" s="20"/>
      <c r="B92" s="21"/>
      <c r="C92" s="22"/>
      <c r="D92" s="23"/>
      <c r="E92" s="22"/>
      <c r="F92" s="21"/>
      <c r="G92" s="21"/>
      <c r="H92" s="23"/>
      <c r="I92" s="21"/>
      <c r="J92" s="21"/>
      <c r="K92" s="15">
        <f t="shared" si="5"/>
        <v>90</v>
      </c>
      <c r="L92" s="16">
        <f t="shared" si="3"/>
        <v>6.1239719350257574E-17</v>
      </c>
      <c r="M92" s="16">
        <f t="shared" si="4"/>
        <v>0.99971100000000002</v>
      </c>
    </row>
    <row r="93" spans="1:13">
      <c r="A93" s="20"/>
      <c r="B93" s="21"/>
      <c r="C93" s="22"/>
      <c r="D93" s="23"/>
      <c r="E93" s="22"/>
      <c r="F93" s="21"/>
      <c r="G93" s="21"/>
      <c r="H93" s="23"/>
      <c r="I93" s="21"/>
      <c r="J93" s="21"/>
      <c r="K93" s="15">
        <f t="shared" si="5"/>
        <v>91</v>
      </c>
      <c r="L93" s="16">
        <f t="shared" si="3"/>
        <v>-1.7452540701995908E-2</v>
      </c>
      <c r="M93" s="16">
        <f t="shared" si="4"/>
        <v>0.99985538717661482</v>
      </c>
    </row>
    <row r="94" spans="1:13">
      <c r="A94" s="20"/>
      <c r="B94" s="21"/>
      <c r="C94" s="22"/>
      <c r="D94" s="23"/>
      <c r="E94" s="22"/>
      <c r="F94" s="21"/>
      <c r="G94" s="21"/>
      <c r="H94" s="23"/>
      <c r="I94" s="21"/>
      <c r="J94" s="21"/>
      <c r="K94" s="15">
        <f t="shared" si="5"/>
        <v>92</v>
      </c>
      <c r="L94" s="16">
        <f t="shared" si="3"/>
        <v>-3.4910122625014341E-2</v>
      </c>
      <c r="M94" s="16">
        <f t="shared" si="4"/>
        <v>0.99969511362755359</v>
      </c>
    </row>
    <row r="95" spans="1:13">
      <c r="A95" s="20"/>
      <c r="B95" s="21"/>
      <c r="C95" s="22"/>
      <c r="D95" s="23"/>
      <c r="E95" s="22"/>
      <c r="F95" s="21"/>
      <c r="G95" s="21"/>
      <c r="H95" s="23"/>
      <c r="I95" s="21"/>
      <c r="J95" s="21"/>
      <c r="K95" s="15">
        <f t="shared" si="5"/>
        <v>93</v>
      </c>
      <c r="L95" s="16">
        <f t="shared" si="3"/>
        <v>-5.2367423037320462E-2</v>
      </c>
      <c r="M95" s="16">
        <f t="shared" si="4"/>
        <v>0.9992299569591987</v>
      </c>
    </row>
    <row r="96" spans="1:13">
      <c r="A96" s="20"/>
      <c r="B96" s="21"/>
      <c r="C96" s="22"/>
      <c r="D96" s="23"/>
      <c r="E96" s="22"/>
      <c r="F96" s="21"/>
      <c r="G96" s="21"/>
      <c r="H96" s="23"/>
      <c r="I96" s="21"/>
      <c r="J96" s="21"/>
      <c r="K96" s="15">
        <f t="shared" si="5"/>
        <v>94</v>
      </c>
      <c r="L96" s="16">
        <f t="shared" si="3"/>
        <v>-6.9819109816526115E-2</v>
      </c>
      <c r="M96" s="16">
        <f t="shared" si="4"/>
        <v>0.99845978782685907</v>
      </c>
    </row>
    <row r="97" spans="1:13">
      <c r="A97" s="20"/>
      <c r="B97" s="21"/>
      <c r="C97" s="22"/>
      <c r="D97" s="23"/>
      <c r="E97" s="22"/>
      <c r="F97" s="21"/>
      <c r="G97" s="21"/>
      <c r="H97" s="23"/>
      <c r="I97" s="21"/>
      <c r="J97" s="21"/>
      <c r="K97" s="15">
        <f t="shared" si="5"/>
        <v>95</v>
      </c>
      <c r="L97" s="16">
        <f t="shared" si="3"/>
        <v>-8.7259843077406904E-2</v>
      </c>
      <c r="M97" s="16">
        <f t="shared" si="4"/>
        <v>0.99738457030550753</v>
      </c>
    </row>
    <row r="98" spans="1:13">
      <c r="A98" s="20"/>
      <c r="B98" s="21"/>
      <c r="C98" s="22"/>
      <c r="D98" s="23"/>
      <c r="E98" s="22"/>
      <c r="F98" s="21"/>
      <c r="G98" s="21"/>
      <c r="H98" s="23"/>
      <c r="I98" s="21"/>
      <c r="J98" s="21"/>
      <c r="K98" s="15">
        <f t="shared" si="5"/>
        <v>96</v>
      </c>
      <c r="L98" s="16">
        <f t="shared" si="3"/>
        <v>-0.10468427681369076</v>
      </c>
      <c r="M98" s="16">
        <f t="shared" si="4"/>
        <v>0.99600436223217614</v>
      </c>
    </row>
    <row r="99" spans="1:13">
      <c r="A99" s="20"/>
      <c r="B99" s="21"/>
      <c r="C99" s="22"/>
      <c r="D99" s="23"/>
      <c r="E99" s="22"/>
      <c r="F99" s="21"/>
      <c r="G99" s="21"/>
      <c r="H99" s="23"/>
      <c r="I99" s="21"/>
      <c r="J99" s="21"/>
      <c r="K99" s="15">
        <f t="shared" si="5"/>
        <v>97</v>
      </c>
      <c r="L99" s="16">
        <f t="shared" si="3"/>
        <v>-0.12208706055333757</v>
      </c>
      <c r="M99" s="16">
        <f t="shared" si="4"/>
        <v>0.99431931551949382</v>
      </c>
    </row>
    <row r="100" spans="1:13">
      <c r="A100" s="20"/>
      <c r="B100" s="21"/>
      <c r="C100" s="22"/>
      <c r="D100" s="23"/>
      <c r="E100" s="22"/>
      <c r="F100" s="21"/>
      <c r="G100" s="21"/>
      <c r="H100" s="23"/>
      <c r="I100" s="21"/>
      <c r="J100" s="21"/>
      <c r="K100" s="15">
        <f t="shared" si="5"/>
        <v>98</v>
      </c>
      <c r="L100" s="16">
        <f t="shared" si="3"/>
        <v>-0.13946284102681272</v>
      </c>
      <c r="M100" s="16">
        <f t="shared" si="4"/>
        <v>0.99232967643986614</v>
      </c>
    </row>
    <row r="101" spans="1:13">
      <c r="A101" s="20"/>
      <c r="B101" s="21"/>
      <c r="C101" s="22"/>
      <c r="D101" s="23"/>
      <c r="E101" s="22"/>
      <c r="F101" s="21"/>
      <c r="G101" s="21"/>
      <c r="H101" s="23"/>
      <c r="I101" s="21"/>
      <c r="J101" s="21"/>
      <c r="K101" s="15">
        <f t="shared" si="5"/>
        <v>99</v>
      </c>
      <c r="L101" s="16">
        <f t="shared" si="3"/>
        <v>-0.15680626384783408</v>
      </c>
      <c r="M101" s="16">
        <f t="shared" si="4"/>
        <v>0.99003578587979724</v>
      </c>
    </row>
    <row r="102" spans="1:13">
      <c r="A102" s="20"/>
      <c r="B102" s="21"/>
      <c r="C102" s="22"/>
      <c r="D102" s="23"/>
      <c r="E102" s="22"/>
      <c r="F102" s="21"/>
      <c r="G102" s="21"/>
      <c r="H102" s="23"/>
      <c r="I102" s="21"/>
      <c r="J102" s="21"/>
      <c r="K102" s="15">
        <f t="shared" si="5"/>
        <v>100</v>
      </c>
      <c r="L102" s="16">
        <f t="shared" si="3"/>
        <v>-0.17411197520606145</v>
      </c>
      <c r="M102" s="16">
        <f t="shared" si="4"/>
        <v>0.98743807956386587</v>
      </c>
    </row>
    <row r="103" spans="1:13">
      <c r="A103" s="20"/>
      <c r="B103" s="21"/>
      <c r="C103" s="22"/>
      <c r="D103" s="23"/>
      <c r="E103" s="22"/>
      <c r="F103" s="21"/>
      <c r="G103" s="21"/>
      <c r="H103" s="23"/>
      <c r="I103" s="21"/>
      <c r="J103" s="21"/>
      <c r="K103" s="15">
        <f t="shared" si="5"/>
        <v>101</v>
      </c>
      <c r="L103" s="16">
        <f t="shared" si="3"/>
        <v>-0.19137462357117205</v>
      </c>
      <c r="M103" s="16">
        <f t="shared" si="4"/>
        <v>0.98453708824787955</v>
      </c>
    </row>
    <row r="104" spans="1:13">
      <c r="A104" s="20"/>
      <c r="B104" s="21"/>
      <c r="C104" s="22"/>
      <c r="D104" s="23"/>
      <c r="E104" s="22"/>
      <c r="F104" s="21"/>
      <c r="G104" s="21"/>
      <c r="H104" s="23"/>
      <c r="I104" s="21"/>
      <c r="J104" s="21"/>
      <c r="K104" s="15">
        <f t="shared" si="5"/>
        <v>102</v>
      </c>
      <c r="L104" s="16">
        <f t="shared" si="3"/>
        <v>-0.20858886140775065</v>
      </c>
      <c r="M104" s="16">
        <f t="shared" si="4"/>
        <v>0.98133343788073202</v>
      </c>
    </row>
    <row r="105" spans="1:13">
      <c r="A105" s="20"/>
      <c r="B105" s="21"/>
      <c r="C105" s="22"/>
      <c r="D105" s="23"/>
      <c r="E105" s="22"/>
      <c r="F105" s="21"/>
      <c r="G105" s="21"/>
      <c r="H105" s="23"/>
      <c r="I105" s="21"/>
      <c r="J105" s="21"/>
      <c r="K105" s="15">
        <f t="shared" si="5"/>
        <v>103</v>
      </c>
      <c r="L105" s="16">
        <f t="shared" si="3"/>
        <v>-0.22574934690040527</v>
      </c>
      <c r="M105" s="16">
        <f t="shared" si="4"/>
        <v>0.97782784973450998</v>
      </c>
    </row>
    <row r="106" spans="1:13">
      <c r="A106" s="20"/>
      <c r="B106" s="21"/>
      <c r="C106" s="22"/>
      <c r="D106" s="23"/>
      <c r="E106" s="22"/>
      <c r="F106" s="21"/>
      <c r="G106" s="21"/>
      <c r="H106" s="23"/>
      <c r="I106" s="21"/>
      <c r="J106" s="21"/>
      <c r="K106" s="15">
        <f t="shared" si="5"/>
        <v>104</v>
      </c>
      <c r="L106" s="16">
        <f t="shared" si="3"/>
        <v>-0.24285074568850035</v>
      </c>
      <c r="M106" s="16">
        <f t="shared" si="4"/>
        <v>0.97402114050239919</v>
      </c>
    </row>
    <row r="107" spans="1:13">
      <c r="A107" s="20"/>
      <c r="B107" s="21"/>
      <c r="C107" s="22"/>
      <c r="D107" s="23"/>
      <c r="E107" s="22"/>
      <c r="F107" s="21"/>
      <c r="G107" s="21"/>
      <c r="H107" s="23"/>
      <c r="I107" s="21"/>
      <c r="J107" s="21"/>
      <c r="K107" s="15">
        <f t="shared" si="5"/>
        <v>105</v>
      </c>
      <c r="L107" s="16">
        <f t="shared" si="3"/>
        <v>-0.25988773260988135</v>
      </c>
      <c r="M107" s="16">
        <f t="shared" si="4"/>
        <v>0.96991422236395175</v>
      </c>
    </row>
    <row r="108" spans="1:13">
      <c r="A108" s="20"/>
      <c r="B108" s="21"/>
      <c r="C108" s="22"/>
      <c r="D108" s="23"/>
      <c r="E108" s="22"/>
      <c r="F108" s="21"/>
      <c r="G108" s="21"/>
      <c r="H108" s="23"/>
      <c r="I108" s="21"/>
      <c r="J108" s="21"/>
      <c r="K108" s="15">
        <f t="shared" si="5"/>
        <v>106</v>
      </c>
      <c r="L108" s="16">
        <f t="shared" si="3"/>
        <v>-0.27685499345294967</v>
      </c>
      <c r="M108" s="16">
        <f t="shared" si="4"/>
        <v>0.9655081030172975</v>
      </c>
    </row>
    <row r="109" spans="1:13">
      <c r="A109" s="20"/>
      <c r="B109" s="21"/>
      <c r="C109" s="22"/>
      <c r="D109" s="23"/>
      <c r="E109" s="22"/>
      <c r="F109" s="21"/>
      <c r="G109" s="21"/>
      <c r="H109" s="23"/>
      <c r="I109" s="21"/>
      <c r="J109" s="21"/>
      <c r="K109" s="15">
        <f t="shared" si="5"/>
        <v>107</v>
      </c>
      <c r="L109" s="16">
        <f t="shared" si="3"/>
        <v>-0.293747226716427</v>
      </c>
      <c r="M109" s="16">
        <f t="shared" si="4"/>
        <v>0.96080388567788011</v>
      </c>
    </row>
    <row r="110" spans="1:13">
      <c r="A110" s="20"/>
      <c r="B110" s="21"/>
      <c r="C110" s="22"/>
      <c r="D110" s="23"/>
      <c r="E110" s="22"/>
      <c r="F110" s="21"/>
      <c r="G110" s="21"/>
      <c r="H110" s="23"/>
      <c r="I110" s="21"/>
      <c r="J110" s="21"/>
      <c r="K110" s="15">
        <f t="shared" si="5"/>
        <v>108</v>
      </c>
      <c r="L110" s="16">
        <f t="shared" si="3"/>
        <v>-0.31055914537612933</v>
      </c>
      <c r="M110" s="16">
        <f t="shared" si="4"/>
        <v>0.95580276904332984</v>
      </c>
    </row>
    <row r="111" spans="1:13">
      <c r="A111" s="20"/>
      <c r="B111" s="21"/>
      <c r="C111" s="22"/>
      <c r="D111" s="23"/>
      <c r="E111" s="22"/>
      <c r="F111" s="21"/>
      <c r="G111" s="21"/>
      <c r="H111" s="23"/>
      <c r="I111" s="21"/>
      <c r="J111" s="21"/>
      <c r="K111" s="15">
        <f t="shared" si="5"/>
        <v>109</v>
      </c>
      <c r="L111" s="16">
        <f t="shared" si="3"/>
        <v>-0.32728547865806318</v>
      </c>
      <c r="M111" s="16">
        <f t="shared" si="4"/>
        <v>0.9505060472240856</v>
      </c>
    </row>
    <row r="112" spans="1:13">
      <c r="A112" s="20"/>
      <c r="B112" s="21"/>
      <c r="C112" s="22"/>
      <c r="D112" s="23"/>
      <c r="E112" s="22"/>
      <c r="F112" s="21"/>
      <c r="G112" s="21"/>
      <c r="H112" s="23"/>
      <c r="I112" s="21"/>
      <c r="J112" s="21"/>
      <c r="K112" s="15">
        <f t="shared" si="5"/>
        <v>110</v>
      </c>
      <c r="L112" s="16">
        <f t="shared" si="3"/>
        <v>-0.34392097381712744</v>
      </c>
      <c r="M112" s="16">
        <f t="shared" si="4"/>
        <v>0.94491510963940206</v>
      </c>
    </row>
    <row r="113" spans="1:13">
      <c r="A113" s="20"/>
      <c r="B113" s="21"/>
      <c r="C113" s="22"/>
      <c r="D113" s="23"/>
      <c r="E113" s="22"/>
      <c r="F113" s="21"/>
      <c r="G113" s="21"/>
      <c r="H113" s="23"/>
      <c r="I113" s="21"/>
      <c r="J113" s="21"/>
      <c r="K113" s="15">
        <f t="shared" si="5"/>
        <v>111</v>
      </c>
      <c r="L113" s="16">
        <f t="shared" si="3"/>
        <v>-0.36046039792069878</v>
      </c>
      <c r="M113" s="16">
        <f t="shared" si="4"/>
        <v>0.93903144087838875</v>
      </c>
    </row>
    <row r="114" spans="1:13">
      <c r="A114" s="20"/>
      <c r="B114" s="21"/>
      <c r="C114" s="22"/>
      <c r="D114" s="23"/>
      <c r="E114" s="22"/>
      <c r="F114" s="21"/>
      <c r="G114" s="21"/>
      <c r="H114" s="23"/>
      <c r="I114" s="21"/>
      <c r="J114" s="21"/>
      <c r="K114" s="15">
        <f t="shared" si="5"/>
        <v>112</v>
      </c>
      <c r="L114" s="16">
        <f t="shared" si="3"/>
        <v>-0.37689853963635717</v>
      </c>
      <c r="M114" s="16">
        <f t="shared" si="4"/>
        <v>0.93285662052574825</v>
      </c>
    </row>
    <row r="115" spans="1:13">
      <c r="A115" s="20"/>
      <c r="B115" s="21"/>
      <c r="C115" s="22"/>
      <c r="D115" s="23"/>
      <c r="E115" s="22"/>
      <c r="F115" s="21"/>
      <c r="G115" s="21"/>
      <c r="H115" s="23"/>
      <c r="I115" s="21"/>
      <c r="J115" s="21"/>
      <c r="K115" s="15">
        <f t="shared" si="5"/>
        <v>113</v>
      </c>
      <c r="L115" s="16">
        <f t="shared" si="3"/>
        <v>-0.39323021102299494</v>
      </c>
      <c r="M115" s="16">
        <f t="shared" si="4"/>
        <v>0.92639232295189611</v>
      </c>
    </row>
    <row r="116" spans="1:13">
      <c r="A116" s="20"/>
      <c r="B116" s="21"/>
      <c r="C116" s="22"/>
      <c r="D116" s="23"/>
      <c r="E116" s="22"/>
      <c r="F116" s="21"/>
      <c r="G116" s="21"/>
      <c r="H116" s="23"/>
      <c r="I116" s="21"/>
      <c r="J116" s="21"/>
      <c r="K116" s="15">
        <f t="shared" si="5"/>
        <v>114</v>
      </c>
      <c r="L116" s="16">
        <f t="shared" si="3"/>
        <v>-0.40945024932453711</v>
      </c>
      <c r="M116" s="16">
        <f t="shared" si="4"/>
        <v>0.9196403170671601</v>
      </c>
    </row>
    <row r="117" spans="1:13">
      <c r="A117" s="20"/>
      <c r="B117" s="21"/>
      <c r="C117" s="22"/>
      <c r="D117" s="23"/>
      <c r="E117" s="22"/>
      <c r="F117" s="21"/>
      <c r="G117" s="21"/>
      <c r="H117" s="23"/>
      <c r="I117" s="21"/>
      <c r="J117" s="21"/>
      <c r="K117" s="15">
        <f t="shared" si="5"/>
        <v>115</v>
      </c>
      <c r="L117" s="16">
        <f t="shared" si="3"/>
        <v>-0.42555351876548753</v>
      </c>
      <c r="M117" s="16">
        <f t="shared" si="4"/>
        <v>0.91260246603978268</v>
      </c>
    </row>
    <row r="118" spans="1:13">
      <c r="A118" s="20"/>
      <c r="B118" s="21"/>
      <c r="C118" s="22"/>
      <c r="D118" s="23"/>
      <c r="E118" s="22"/>
      <c r="F118" s="21"/>
      <c r="G118" s="21"/>
      <c r="H118" s="23"/>
      <c r="I118" s="21"/>
      <c r="J118" s="21"/>
      <c r="K118" s="15">
        <f t="shared" si="5"/>
        <v>116</v>
      </c>
      <c r="L118" s="16">
        <f t="shared" si="3"/>
        <v>-0.44153491234749964</v>
      </c>
      <c r="M118" s="16">
        <f t="shared" si="4"/>
        <v>0.9052807269774561</v>
      </c>
    </row>
    <row r="119" spans="1:13">
      <c r="A119" s="20"/>
      <c r="B119" s="21"/>
      <c r="C119" s="22"/>
      <c r="D119" s="23"/>
      <c r="E119" s="22"/>
      <c r="F119" s="21"/>
      <c r="G119" s="21"/>
      <c r="H119" s="23"/>
      <c r="I119" s="21"/>
      <c r="J119" s="21"/>
      <c r="K119" s="15">
        <f t="shared" si="5"/>
        <v>117</v>
      </c>
      <c r="L119" s="16">
        <f t="shared" si="3"/>
        <v>-0.45738935364615718</v>
      </c>
      <c r="M119" s="16">
        <f t="shared" si="4"/>
        <v>0.89767715057215891</v>
      </c>
    </row>
    <row r="120" spans="1:13">
      <c r="A120" s="20"/>
      <c r="B120" s="21"/>
      <c r="C120" s="22"/>
      <c r="D120" s="23"/>
      <c r="E120" s="22"/>
      <c r="F120" s="21"/>
      <c r="G120" s="21"/>
      <c r="H120" s="23"/>
      <c r="I120" s="21"/>
      <c r="J120" s="21"/>
      <c r="K120" s="15">
        <f t="shared" si="5"/>
        <v>118</v>
      </c>
      <c r="L120" s="16">
        <f t="shared" si="3"/>
        <v>-0.47311179860714297</v>
      </c>
      <c r="M120" s="16">
        <f t="shared" si="4"/>
        <v>0.88979388070805732</v>
      </c>
    </row>
    <row r="121" spans="1:13">
      <c r="A121" s="20"/>
      <c r="B121" s="21"/>
      <c r="C121" s="22"/>
      <c r="D121" s="23"/>
      <c r="E121" s="22"/>
      <c r="F121" s="21"/>
      <c r="G121" s="21"/>
      <c r="H121" s="23"/>
      <c r="I121" s="21"/>
      <c r="J121" s="21"/>
      <c r="K121" s="15">
        <f t="shared" si="5"/>
        <v>119</v>
      </c>
      <c r="L121" s="16">
        <f t="shared" si="3"/>
        <v>-0.48869723734094772</v>
      </c>
      <c r="M121" s="16">
        <f t="shared" si="4"/>
        <v>0.88163315403228315</v>
      </c>
    </row>
    <row r="122" spans="1:13">
      <c r="A122" s="20"/>
      <c r="B122" s="21"/>
      <c r="C122" s="22"/>
      <c r="D122" s="23"/>
      <c r="E122" s="22"/>
      <c r="F122" s="21"/>
      <c r="G122" s="21"/>
      <c r="H122" s="23"/>
      <c r="I122" s="21"/>
      <c r="J122" s="21"/>
      <c r="K122" s="15">
        <f t="shared" si="5"/>
        <v>120</v>
      </c>
      <c r="L122" s="16">
        <f t="shared" si="3"/>
        <v>-0.50414069591527966</v>
      </c>
      <c r="M122" s="16">
        <f t="shared" si="4"/>
        <v>0.87319729948839642</v>
      </c>
    </row>
    <row r="123" spans="1:13">
      <c r="A123" s="20"/>
      <c r="B123" s="21"/>
      <c r="C123" s="22"/>
      <c r="D123" s="23"/>
      <c r="E123" s="22"/>
      <c r="F123" s="21"/>
      <c r="G123" s="21"/>
      <c r="H123" s="23"/>
      <c r="I123" s="21"/>
      <c r="J123" s="21"/>
      <c r="K123" s="15">
        <f t="shared" si="5"/>
        <v>121</v>
      </c>
      <c r="L123" s="16">
        <f t="shared" si="3"/>
        <v>-0.51943723814430276</v>
      </c>
      <c r="M123" s="16">
        <f t="shared" si="4"/>
        <v>0.86448873781238278</v>
      </c>
    </row>
    <row r="124" spans="1:13">
      <c r="A124" s="20"/>
      <c r="B124" s="21"/>
      <c r="C124" s="22"/>
      <c r="D124" s="23"/>
      <c r="E124" s="22"/>
      <c r="F124" s="21"/>
      <c r="G124" s="21"/>
      <c r="H124" s="23"/>
      <c r="I124" s="21"/>
      <c r="J124" s="21"/>
      <c r="K124" s="15">
        <f t="shared" si="5"/>
        <v>122</v>
      </c>
      <c r="L124" s="16">
        <f t="shared" si="3"/>
        <v>-0.53458196737383379</v>
      </c>
      <c r="M124" s="16">
        <f t="shared" si="4"/>
        <v>0.8555099809910427</v>
      </c>
    </row>
    <row r="125" spans="1:13">
      <c r="A125" s="20"/>
      <c r="B125" s="21"/>
      <c r="C125" s="22"/>
      <c r="D125" s="23"/>
      <c r="E125" s="22"/>
      <c r="F125" s="21"/>
      <c r="G125" s="21"/>
      <c r="H125" s="23"/>
      <c r="I125" s="21"/>
      <c r="J125" s="21"/>
      <c r="K125" s="15">
        <f t="shared" si="5"/>
        <v>123</v>
      </c>
      <c r="L125" s="16">
        <f t="shared" si="3"/>
        <v>-0.54957002826162271</v>
      </c>
      <c r="M125" s="16">
        <f t="shared" si="4"/>
        <v>0.84626363168266294</v>
      </c>
    </row>
    <row r="126" spans="1:13">
      <c r="A126" s="20"/>
      <c r="B126" s="21"/>
      <c r="C126" s="22"/>
      <c r="D126" s="23"/>
      <c r="E126" s="22"/>
      <c r="F126" s="21"/>
      <c r="G126" s="21"/>
      <c r="H126" s="23"/>
      <c r="I126" s="21"/>
      <c r="J126" s="21"/>
      <c r="K126" s="15">
        <f t="shared" si="5"/>
        <v>124</v>
      </c>
      <c r="L126" s="16">
        <f t="shared" si="3"/>
        <v>-0.56439660855181084</v>
      </c>
      <c r="M126" s="16">
        <f t="shared" si="4"/>
        <v>0.83675238259987894</v>
      </c>
    </row>
    <row r="127" spans="1:13">
      <c r="A127" s="20"/>
      <c r="B127" s="21"/>
      <c r="C127" s="22"/>
      <c r="D127" s="23"/>
      <c r="E127" s="22"/>
      <c r="F127" s="21"/>
      <c r="G127" s="21"/>
      <c r="H127" s="23"/>
      <c r="I127" s="21"/>
      <c r="J127" s="21"/>
      <c r="K127" s="15">
        <f t="shared" si="5"/>
        <v>125</v>
      </c>
      <c r="L127" s="16">
        <f t="shared" si="3"/>
        <v>-0.57905694084267967</v>
      </c>
      <c r="M127" s="16">
        <f t="shared" si="4"/>
        <v>0.82697901585465927</v>
      </c>
    </row>
    <row r="128" spans="1:13">
      <c r="A128" s="20"/>
      <c r="B128" s="21"/>
      <c r="C128" s="22"/>
      <c r="D128" s="23"/>
      <c r="E128" s="22"/>
      <c r="F128" s="21"/>
      <c r="G128" s="21"/>
      <c r="H128" s="23"/>
      <c r="I128" s="21"/>
      <c r="J128" s="21"/>
      <c r="K128" s="15">
        <f t="shared" si="5"/>
        <v>126</v>
      </c>
      <c r="L128" s="16">
        <f t="shared" si="3"/>
        <v>-0.59354630434677202</v>
      </c>
      <c r="M128" s="16">
        <f t="shared" si="4"/>
        <v>0.81694640226537796</v>
      </c>
    </row>
    <row r="129" spans="1:13">
      <c r="A129" s="20"/>
      <c r="B129" s="21"/>
      <c r="C129" s="22"/>
      <c r="D129" s="23"/>
      <c r="E129" s="22"/>
      <c r="F129" s="21"/>
      <c r="G129" s="21"/>
      <c r="H129" s="23"/>
      <c r="I129" s="21"/>
      <c r="J129" s="21"/>
      <c r="K129" s="15">
        <f t="shared" si="5"/>
        <v>127</v>
      </c>
      <c r="L129" s="16">
        <f t="shared" si="3"/>
        <v>-0.60786002664247718</v>
      </c>
      <c r="M129" s="16">
        <f t="shared" si="4"/>
        <v>0.80665750062594366</v>
      </c>
    </row>
    <row r="130" spans="1:13">
      <c r="A130" s="20"/>
      <c r="B130" s="21"/>
      <c r="C130" s="22"/>
      <c r="D130" s="23"/>
      <c r="E130" s="22"/>
      <c r="F130" s="21"/>
      <c r="G130" s="21"/>
      <c r="H130" s="23"/>
      <c r="I130" s="21"/>
      <c r="J130" s="21"/>
      <c r="K130" s="15">
        <f t="shared" si="5"/>
        <v>128</v>
      </c>
      <c r="L130" s="16">
        <f t="shared" si="3"/>
        <v>-0.62199348541615151</v>
      </c>
      <c r="M130" s="16">
        <f t="shared" si="4"/>
        <v>0.79611535693701097</v>
      </c>
    </row>
    <row r="131" spans="1:13">
      <c r="A131" s="20"/>
      <c r="B131" s="21"/>
      <c r="C131" s="22"/>
      <c r="D131" s="23"/>
      <c r="E131" s="22"/>
      <c r="F131" s="21"/>
      <c r="G131" s="21"/>
      <c r="H131" s="23"/>
      <c r="I131" s="21"/>
      <c r="J131" s="21"/>
      <c r="K131" s="15">
        <f t="shared" si="5"/>
        <v>129</v>
      </c>
      <c r="L131" s="16">
        <f t="shared" ref="L131:L194" si="6">IF($D$2="","", ($D$2*(1-$E$2^2)/(1+$E$2*COS(RADIANS(K131)))) * COS(RADIANS(K131)) )</f>
        <v>-0.63594211019385216</v>
      </c>
      <c r="M131" s="16">
        <f t="shared" ref="M131:M194" si="7">IF($D$2="","", ($D$2*(1-$E$2^2)/(1+$E$2*COS(RADIANS(K131)))) * SIN(RADIANS(K131)) )</f>
        <v>0.7853231035992887</v>
      </c>
    </row>
    <row r="132" spans="1:13">
      <c r="A132" s="20"/>
      <c r="B132" s="21"/>
      <c r="C132" s="22"/>
      <c r="D132" s="23"/>
      <c r="E132" s="22"/>
      <c r="F132" s="21"/>
      <c r="G132" s="21"/>
      <c r="H132" s="23"/>
      <c r="I132" s="21"/>
      <c r="J132" s="21"/>
      <c r="K132" s="15">
        <f t="shared" ref="K132:K195" si="8">K131+1</f>
        <v>130</v>
      </c>
      <c r="L132" s="16">
        <f t="shared" si="6"/>
        <v>-0.64970138406174849</v>
      </c>
      <c r="M132" s="16">
        <f t="shared" si="7"/>
        <v>0.77428395856901922</v>
      </c>
    </row>
    <row r="133" spans="1:13">
      <c r="A133" s="20"/>
      <c r="B133" s="21"/>
      <c r="C133" s="22"/>
      <c r="D133" s="23"/>
      <c r="E133" s="22"/>
      <c r="F133" s="21"/>
      <c r="G133" s="21"/>
      <c r="H133" s="23"/>
      <c r="I133" s="21"/>
      <c r="J133" s="21"/>
      <c r="K133" s="15">
        <f t="shared" si="8"/>
        <v>131</v>
      </c>
      <c r="L133" s="16">
        <f t="shared" si="6"/>
        <v>-0.66326684537427216</v>
      </c>
      <c r="M133" s="16">
        <f t="shared" si="7"/>
        <v>0.7630012244757054</v>
      </c>
    </row>
    <row r="134" spans="1:13">
      <c r="A134" s="20"/>
      <c r="B134" s="21"/>
      <c r="C134" s="22"/>
      <c r="D134" s="23"/>
      <c r="E134" s="22"/>
      <c r="F134" s="21"/>
      <c r="G134" s="21"/>
      <c r="H134" s="23"/>
      <c r="I134" s="21"/>
      <c r="J134" s="21"/>
      <c r="K134" s="15">
        <f t="shared" si="8"/>
        <v>132</v>
      </c>
      <c r="L134" s="16">
        <f t="shared" si="6"/>
        <v>-0.67663408944907477</v>
      </c>
      <c r="M134" s="16">
        <f t="shared" si="7"/>
        <v>0.75147828770219793</v>
      </c>
    </row>
    <row r="135" spans="1:13">
      <c r="A135" s="20"/>
      <c r="B135" s="21"/>
      <c r="C135" s="22"/>
      <c r="D135" s="23"/>
      <c r="E135" s="22"/>
      <c r="F135" s="21"/>
      <c r="G135" s="21"/>
      <c r="H135" s="23"/>
      <c r="I135" s="21"/>
      <c r="J135" s="21"/>
      <c r="K135" s="15">
        <f t="shared" si="8"/>
        <v>133</v>
      </c>
      <c r="L135" s="16">
        <f t="shared" si="6"/>
        <v>-0.68979877024783687</v>
      </c>
      <c r="M135" s="16">
        <f t="shared" si="7"/>
        <v>0.7397186174272854</v>
      </c>
    </row>
    <row r="136" spans="1:13">
      <c r="A136" s="20"/>
      <c r="B136" s="21"/>
      <c r="C136" s="22"/>
      <c r="D136" s="23"/>
      <c r="E136" s="22"/>
      <c r="F136" s="21"/>
      <c r="G136" s="21"/>
      <c r="H136" s="23"/>
      <c r="I136" s="21"/>
      <c r="J136" s="21"/>
      <c r="K136" s="15">
        <f t="shared" si="8"/>
        <v>134</v>
      </c>
      <c r="L136" s="16">
        <f t="shared" si="6"/>
        <v>-0.7027566020419993</v>
      </c>
      <c r="M136" s="16">
        <f t="shared" si="7"/>
        <v>0.72772576463094585</v>
      </c>
    </row>
    <row r="137" spans="1:13">
      <c r="A137" s="20"/>
      <c r="B137" s="21"/>
      <c r="C137" s="22"/>
      <c r="D137" s="23"/>
      <c r="E137" s="22"/>
      <c r="F137" s="21"/>
      <c r="G137" s="21"/>
      <c r="H137" s="23"/>
      <c r="I137" s="21"/>
      <c r="J137" s="21"/>
      <c r="K137" s="15">
        <f t="shared" si="8"/>
        <v>135</v>
      </c>
      <c r="L137" s="16">
        <f t="shared" si="6"/>
        <v>-0.71550336106245815</v>
      </c>
      <c r="M137" s="16">
        <f t="shared" si="7"/>
        <v>0.71550336106245827</v>
      </c>
    </row>
    <row r="138" spans="1:13">
      <c r="A138" s="20"/>
      <c r="B138" s="21"/>
      <c r="C138" s="22"/>
      <c r="D138" s="23"/>
      <c r="E138" s="22"/>
      <c r="F138" s="21"/>
      <c r="G138" s="21"/>
      <c r="H138" s="23"/>
      <c r="I138" s="21"/>
      <c r="J138" s="21"/>
      <c r="K138" s="15">
        <f t="shared" si="8"/>
        <v>136</v>
      </c>
      <c r="L138" s="16">
        <f t="shared" si="6"/>
        <v>-0.7280348871322917</v>
      </c>
      <c r="M138" s="16">
        <f t="shared" si="7"/>
        <v>0.70305511817158894</v>
      </c>
    </row>
    <row r="139" spans="1:13">
      <c r="A139" s="20"/>
      <c r="B139" s="21"/>
      <c r="C139" s="22"/>
      <c r="D139" s="23"/>
      <c r="E139" s="22"/>
      <c r="F139" s="21"/>
      <c r="G139" s="21"/>
      <c r="H139" s="23"/>
      <c r="I139" s="21"/>
      <c r="J139" s="21"/>
      <c r="K139" s="15">
        <f t="shared" si="8"/>
        <v>137</v>
      </c>
      <c r="L139" s="16">
        <f t="shared" si="6"/>
        <v>-0.74034708528156434</v>
      </c>
      <c r="M139" s="16">
        <f t="shared" si="7"/>
        <v>0.6903848260031048</v>
      </c>
    </row>
    <row r="140" spans="1:13">
      <c r="A140" s="20"/>
      <c r="B140" s="21"/>
      <c r="C140" s="22"/>
      <c r="D140" s="23"/>
      <c r="E140" s="22"/>
      <c r="F140" s="21"/>
      <c r="G140" s="21"/>
      <c r="H140" s="23"/>
      <c r="I140" s="21"/>
      <c r="J140" s="21"/>
      <c r="K140" s="15">
        <f t="shared" si="8"/>
        <v>138</v>
      </c>
      <c r="L140" s="16">
        <f t="shared" si="6"/>
        <v>-0.75243592734327458</v>
      </c>
      <c r="M140" s="16">
        <f t="shared" si="7"/>
        <v>0.67749635205488035</v>
      </c>
    </row>
    <row r="141" spans="1:13">
      <c r="A141" s="20"/>
      <c r="B141" s="21"/>
      <c r="C141" s="22"/>
      <c r="D141" s="23"/>
      <c r="E141" s="22"/>
      <c r="F141" s="21"/>
      <c r="G141" s="21"/>
      <c r="H141" s="23"/>
      <c r="I141" s="21"/>
      <c r="J141" s="21"/>
      <c r="K141" s="15">
        <f t="shared" si="8"/>
        <v>139</v>
      </c>
      <c r="L141" s="16">
        <f t="shared" si="6"/>
        <v>-0.76429745352950362</v>
      </c>
      <c r="M141" s="16">
        <f t="shared" si="7"/>
        <v>0.66439364009991131</v>
      </c>
    </row>
    <row r="142" spans="1:13">
      <c r="A142" s="20"/>
      <c r="B142" s="21"/>
      <c r="C142" s="22"/>
      <c r="D142" s="23"/>
      <c r="E142" s="22"/>
      <c r="F142" s="21"/>
      <c r="G142" s="21"/>
      <c r="H142" s="23"/>
      <c r="I142" s="21"/>
      <c r="J142" s="21"/>
      <c r="K142" s="15">
        <f t="shared" si="8"/>
        <v>140</v>
      </c>
      <c r="L142" s="16">
        <f t="shared" si="6"/>
        <v>-0.77592777398682955</v>
      </c>
      <c r="M142" s="16">
        <f t="shared" si="7"/>
        <v>0.65108070897255677</v>
      </c>
    </row>
    <row r="143" spans="1:13">
      <c r="A143" s="20"/>
      <c r="B143" s="21"/>
      <c r="C143" s="22"/>
      <c r="D143" s="23"/>
      <c r="E143" s="22"/>
      <c r="F143" s="21"/>
      <c r="G143" s="21"/>
      <c r="H143" s="23"/>
      <c r="I143" s="21"/>
      <c r="J143" s="21"/>
      <c r="K143" s="15">
        <f t="shared" si="8"/>
        <v>141</v>
      </c>
      <c r="L143" s="16">
        <f t="shared" si="6"/>
        <v>-0.78732307033008164</v>
      </c>
      <c r="M143" s="16">
        <f t="shared" si="7"/>
        <v>0.6375616513193697</v>
      </c>
    </row>
    <row r="144" spans="1:13">
      <c r="A144" s="20"/>
      <c r="B144" s="21"/>
      <c r="C144" s="22"/>
      <c r="D144" s="23"/>
      <c r="E144" s="22"/>
      <c r="F144" s="21"/>
      <c r="G144" s="21"/>
      <c r="H144" s="23"/>
      <c r="I144" s="21"/>
      <c r="J144" s="21"/>
      <c r="K144" s="15">
        <f t="shared" si="8"/>
        <v>142</v>
      </c>
      <c r="L144" s="16">
        <f t="shared" si="6"/>
        <v>-0.79847959715350247</v>
      </c>
      <c r="M144" s="16">
        <f t="shared" si="7"/>
        <v>0.62384063231490572</v>
      </c>
    </row>
    <row r="145" spans="1:13">
      <c r="A145" s="20"/>
      <c r="B145" s="21"/>
      <c r="C145" s="22"/>
      <c r="D145" s="23"/>
      <c r="E145" s="22"/>
      <c r="F145" s="21"/>
      <c r="G145" s="21"/>
      <c r="H145" s="23"/>
      <c r="I145" s="21"/>
      <c r="J145" s="21"/>
      <c r="K145" s="15">
        <f t="shared" si="8"/>
        <v>143</v>
      </c>
      <c r="L145" s="16">
        <f t="shared" si="6"/>
        <v>-0.80939368351840757</v>
      </c>
      <c r="M145" s="16">
        <f t="shared" si="7"/>
        <v>0.60992188834291505</v>
      </c>
    </row>
    <row r="146" spans="1:13">
      <c r="A146" s="20"/>
      <c r="B146" s="21"/>
      <c r="C146" s="22"/>
      <c r="D146" s="23"/>
      <c r="E146" s="22"/>
      <c r="F146" s="21"/>
      <c r="G146" s="21"/>
      <c r="H146" s="23"/>
      <c r="I146" s="21"/>
      <c r="J146" s="21"/>
      <c r="K146" s="15">
        <f t="shared" si="8"/>
        <v>144</v>
      </c>
      <c r="L146" s="16">
        <f t="shared" si="6"/>
        <v>-0.82006173441642416</v>
      </c>
      <c r="M146" s="16">
        <f t="shared" si="7"/>
        <v>0.59580972564336987</v>
      </c>
    </row>
    <row r="147" spans="1:13">
      <c r="A147" s="20"/>
      <c r="B147" s="21"/>
      <c r="C147" s="22"/>
      <c r="D147" s="23"/>
      <c r="E147" s="22"/>
      <c r="F147" s="21"/>
      <c r="G147" s="21"/>
      <c r="H147" s="23"/>
      <c r="I147" s="21"/>
      <c r="J147" s="21"/>
      <c r="K147" s="15">
        <f t="shared" si="8"/>
        <v>145</v>
      </c>
      <c r="L147" s="16">
        <f t="shared" si="6"/>
        <v>-0.83048023220741551</v>
      </c>
      <c r="M147" s="16">
        <f t="shared" si="7"/>
        <v>0.58150851892578237</v>
      </c>
    </row>
    <row r="148" spans="1:13">
      <c r="A148" s="20"/>
      <c r="B148" s="21"/>
      <c r="C148" s="22"/>
      <c r="D148" s="23"/>
      <c r="E148" s="22"/>
      <c r="F148" s="21"/>
      <c r="G148" s="21"/>
      <c r="H148" s="23"/>
      <c r="I148" s="21"/>
      <c r="J148" s="21"/>
      <c r="K148" s="15">
        <f t="shared" si="8"/>
        <v>146</v>
      </c>
      <c r="L148" s="16">
        <f t="shared" si="6"/>
        <v>-0.84064573803118736</v>
      </c>
      <c r="M148" s="16">
        <f t="shared" si="7"/>
        <v>0.56702270994932336</v>
      </c>
    </row>
    <row r="149" spans="1:13">
      <c r="A149" s="20"/>
      <c r="B149" s="21"/>
      <c r="C149" s="22"/>
      <c r="D149" s="23"/>
      <c r="E149" s="22"/>
      <c r="F149" s="21"/>
      <c r="G149" s="21"/>
      <c r="H149" s="23"/>
      <c r="I149" s="21"/>
      <c r="J149" s="21"/>
      <c r="K149" s="15">
        <f t="shared" si="8"/>
        <v>147</v>
      </c>
      <c r="L149" s="16">
        <f t="shared" si="6"/>
        <v>-0.85055489319210487</v>
      </c>
      <c r="M149" s="16">
        <f t="shared" si="7"/>
        <v>0.55235680607025073</v>
      </c>
    </row>
    <row r="150" spans="1:13">
      <c r="A150" s="20"/>
      <c r="B150" s="21"/>
      <c r="C150" s="22"/>
      <c r="D150" s="23"/>
      <c r="E150" s="22"/>
      <c r="F150" s="21"/>
      <c r="G150" s="21"/>
      <c r="H150" s="23"/>
      <c r="I150" s="21"/>
      <c r="J150" s="21"/>
      <c r="K150" s="15">
        <f t="shared" si="8"/>
        <v>148</v>
      </c>
      <c r="L150" s="16">
        <f t="shared" si="6"/>
        <v>-0.86020442051574009</v>
      </c>
      <c r="M150" s="16">
        <f t="shared" si="7"/>
        <v>0.53751537875720901</v>
      </c>
    </row>
    <row r="151" spans="1:13">
      <c r="A151" s="20"/>
      <c r="B151" s="21"/>
      <c r="C151" s="22"/>
      <c r="D151" s="23"/>
      <c r="E151" s="22"/>
      <c r="F151" s="21"/>
      <c r="G151" s="21"/>
      <c r="H151" s="23"/>
      <c r="I151" s="21"/>
      <c r="J151" s="21"/>
      <c r="K151" s="15">
        <f t="shared" si="8"/>
        <v>149</v>
      </c>
      <c r="L151" s="16">
        <f t="shared" si="6"/>
        <v>-0.86959112567669294</v>
      </c>
      <c r="M151" s="16">
        <f t="shared" si="7"/>
        <v>0.52250306207497099</v>
      </c>
    </row>
    <row r="152" spans="1:13">
      <c r="A152" s="20"/>
      <c r="B152" s="21"/>
      <c r="C152" s="22"/>
      <c r="D152" s="23"/>
      <c r="E152" s="22"/>
      <c r="F152" s="21"/>
      <c r="G152" s="21"/>
      <c r="H152" s="23"/>
      <c r="I152" s="21"/>
      <c r="J152" s="21"/>
      <c r="K152" s="15">
        <f t="shared" si="8"/>
        <v>150</v>
      </c>
      <c r="L152" s="16">
        <f t="shared" si="6"/>
        <v>-0.87871189849674414</v>
      </c>
      <c r="M152" s="16">
        <f t="shared" si="7"/>
        <v>0.50732455113722219</v>
      </c>
    </row>
    <row r="153" spans="1:13">
      <c r="A153" s="20"/>
      <c r="B153" s="21"/>
      <c r="C153" s="22"/>
      <c r="D153" s="23"/>
      <c r="E153" s="22"/>
      <c r="F153" s="21"/>
      <c r="G153" s="21"/>
      <c r="H153" s="23"/>
      <c r="I153" s="21"/>
      <c r="J153" s="21"/>
      <c r="K153" s="15">
        <f t="shared" si="8"/>
        <v>151</v>
      </c>
      <c r="L153" s="16">
        <f t="shared" si="6"/>
        <v>-0.88756371421249802</v>
      </c>
      <c r="M153" s="16">
        <f t="shared" si="7"/>
        <v>0.49198460052902643</v>
      </c>
    </row>
    <row r="154" spans="1:13">
      <c r="A154" s="20"/>
      <c r="B154" s="21"/>
      <c r="C154" s="22"/>
      <c r="D154" s="23"/>
      <c r="E154" s="22"/>
      <c r="F154" s="21"/>
      <c r="G154" s="21"/>
      <c r="H154" s="23"/>
      <c r="I154" s="21"/>
      <c r="J154" s="21"/>
      <c r="K154" s="15">
        <f t="shared" si="8"/>
        <v>152</v>
      </c>
      <c r="L154" s="16">
        <f t="shared" si="6"/>
        <v>-0.89614363471170821</v>
      </c>
      <c r="M154" s="16">
        <f t="shared" si="7"/>
        <v>0.4764880226996141</v>
      </c>
    </row>
    <row r="155" spans="1:13">
      <c r="A155" s="20"/>
      <c r="B155" s="21"/>
      <c r="C155" s="22"/>
      <c r="D155" s="23"/>
      <c r="E155" s="22"/>
      <c r="F155" s="21"/>
      <c r="G155" s="21"/>
      <c r="H155" s="23"/>
      <c r="I155" s="21"/>
      <c r="J155" s="21"/>
      <c r="K155" s="15">
        <f t="shared" si="8"/>
        <v>153</v>
      </c>
      <c r="L155" s="16">
        <f t="shared" si="6"/>
        <v>-0.90444880973747566</v>
      </c>
      <c r="M155" s="16">
        <f t="shared" si="7"/>
        <v>0.46083968632618849</v>
      </c>
    </row>
    <row r="156" spans="1:13">
      <c r="A156" s="20"/>
      <c r="B156" s="21"/>
      <c r="C156" s="22"/>
      <c r="D156" s="23"/>
      <c r="E156" s="22"/>
      <c r="F156" s="21"/>
      <c r="G156" s="21"/>
      <c r="H156" s="23"/>
      <c r="I156" s="21"/>
      <c r="J156" s="21"/>
      <c r="K156" s="15">
        <f t="shared" si="8"/>
        <v>154</v>
      </c>
      <c r="L156" s="16">
        <f t="shared" si="6"/>
        <v>-0.91247647805954168</v>
      </c>
      <c r="M156" s="16">
        <f t="shared" si="7"/>
        <v>0.44504451464944061</v>
      </c>
    </row>
    <row r="157" spans="1:13">
      <c r="A157" s="20"/>
      <c r="B157" s="21"/>
      <c r="C157" s="22"/>
      <c r="D157" s="23"/>
      <c r="E157" s="22"/>
      <c r="F157" s="21"/>
      <c r="G157" s="21"/>
      <c r="H157" s="23"/>
      <c r="I157" s="21"/>
      <c r="J157" s="21"/>
      <c r="K157" s="15">
        <f t="shared" si="8"/>
        <v>155</v>
      </c>
      <c r="L157" s="16">
        <f t="shared" si="6"/>
        <v>-0.92022396861189881</v>
      </c>
      <c r="M157" s="16">
        <f t="shared" si="7"/>
        <v>0.42910748378151353</v>
      </c>
    </row>
    <row r="158" spans="1:13">
      <c r="A158" s="20"/>
      <c r="B158" s="21"/>
      <c r="C158" s="22"/>
      <c r="D158" s="23"/>
      <c r="E158" s="22"/>
      <c r="F158" s="21"/>
      <c r="G158" s="21"/>
      <c r="H158" s="23"/>
      <c r="I158" s="21"/>
      <c r="J158" s="21"/>
      <c r="K158" s="15">
        <f t="shared" si="8"/>
        <v>156</v>
      </c>
      <c r="L158" s="16">
        <f t="shared" si="6"/>
        <v>-0.92768870159598138</v>
      </c>
      <c r="M158" s="16">
        <f t="shared" si="7"/>
        <v>0.41303362098716195</v>
      </c>
    </row>
    <row r="159" spans="1:13">
      <c r="A159" s="20"/>
      <c r="B159" s="21"/>
      <c r="C159" s="22"/>
      <c r="D159" s="23"/>
      <c r="E159" s="22"/>
      <c r="F159" s="21"/>
      <c r="G159" s="21"/>
      <c r="H159" s="23"/>
      <c r="I159" s="21"/>
      <c r="J159" s="21"/>
      <c r="K159" s="15">
        <f t="shared" si="8"/>
        <v>157</v>
      </c>
      <c r="L159" s="16">
        <f t="shared" si="6"/>
        <v>-0.93486818954869655</v>
      </c>
      <c r="M159" s="16">
        <f t="shared" si="7"/>
        <v>0.39682800293888887</v>
      </c>
    </row>
    <row r="160" spans="1:13">
      <c r="A160" s="20"/>
      <c r="B160" s="21"/>
      <c r="C160" s="22"/>
      <c r="D160" s="23"/>
      <c r="E160" s="22"/>
      <c r="F160" s="21"/>
      <c r="G160" s="21"/>
      <c r="H160" s="23"/>
      <c r="I160" s="21"/>
      <c r="J160" s="21"/>
      <c r="K160" s="15">
        <f t="shared" si="8"/>
        <v>158</v>
      </c>
      <c r="L160" s="16">
        <f t="shared" si="6"/>
        <v>-0.94176003837458855</v>
      </c>
      <c r="M160" s="16">
        <f t="shared" si="7"/>
        <v>0.3804957539468577</v>
      </c>
    </row>
    <row r="161" spans="1:13">
      <c r="A161" s="20"/>
      <c r="B161" s="21"/>
      <c r="C161" s="22"/>
      <c r="D161" s="23"/>
      <c r="E161" s="22"/>
      <c r="F161" s="21"/>
      <c r="G161" s="21"/>
      <c r="H161" s="23"/>
      <c r="I161" s="21"/>
      <c r="J161" s="21"/>
      <c r="K161" s="15">
        <f t="shared" si="8"/>
        <v>159</v>
      </c>
      <c r="L161" s="16">
        <f t="shared" si="6"/>
        <v>-0.94836194834145149</v>
      </c>
      <c r="M161" s="16">
        <f t="shared" si="7"/>
        <v>0.36404204416439806</v>
      </c>
    </row>
    <row r="162" spans="1:13">
      <c r="A162" s="20"/>
      <c r="B162" s="21"/>
      <c r="C162" s="22"/>
      <c r="D162" s="23"/>
      <c r="E162" s="22"/>
      <c r="F162" s="21"/>
      <c r="G162" s="21"/>
      <c r="H162" s="23"/>
      <c r="I162" s="21"/>
      <c r="J162" s="21"/>
      <c r="K162" s="15">
        <f t="shared" si="8"/>
        <v>160</v>
      </c>
      <c r="L162" s="16">
        <f t="shared" si="6"/>
        <v>-0.95467171503871473</v>
      </c>
      <c r="M162" s="16">
        <f t="shared" si="7"/>
        <v>0.34747208776995836</v>
      </c>
    </row>
    <row r="163" spans="1:13">
      <c r="A163" s="20"/>
      <c r="B163" s="21"/>
      <c r="C163" s="22"/>
      <c r="D163" s="23"/>
      <c r="E163" s="22"/>
      <c r="F163" s="21"/>
      <c r="G163" s="21"/>
      <c r="H163" s="23"/>
      <c r="I163" s="21"/>
      <c r="J163" s="21"/>
      <c r="K163" s="15">
        <f t="shared" si="8"/>
        <v>161</v>
      </c>
      <c r="L163" s="16">
        <f t="shared" si="6"/>
        <v>-0.96068723029796088</v>
      </c>
      <c r="M163" s="16">
        <f t="shared" si="7"/>
        <v>0.33079114112635577</v>
      </c>
    </row>
    <row r="164" spans="1:13">
      <c r="A164" s="20"/>
      <c r="B164" s="21"/>
      <c r="C164" s="22"/>
      <c r="D164" s="23"/>
      <c r="E164" s="22"/>
      <c r="F164" s="21"/>
      <c r="G164" s="21"/>
      <c r="H164" s="23"/>
      <c r="I164" s="21"/>
      <c r="J164" s="21"/>
      <c r="K164" s="15">
        <f t="shared" si="8"/>
        <v>162</v>
      </c>
      <c r="L164" s="16">
        <f t="shared" si="6"/>
        <v>-0.96640648307495569</v>
      </c>
      <c r="M164" s="16">
        <f t="shared" si="7"/>
        <v>0.31400450091822607</v>
      </c>
    </row>
    <row r="165" spans="1:13">
      <c r="A165" s="20"/>
      <c r="B165" s="21"/>
      <c r="C165" s="22"/>
      <c r="D165" s="23"/>
      <c r="E165" s="22"/>
      <c r="F165" s="21"/>
      <c r="G165" s="21"/>
      <c r="H165" s="23"/>
      <c r="I165" s="21"/>
      <c r="J165" s="21"/>
      <c r="K165" s="15">
        <f t="shared" si="8"/>
        <v>163</v>
      </c>
      <c r="L165" s="16">
        <f t="shared" si="6"/>
        <v>-0.97182756029258599</v>
      </c>
      <c r="M165" s="16">
        <f t="shared" si="7"/>
        <v>0.29711750226855949</v>
      </c>
    </row>
    <row r="166" spans="1:13">
      <c r="A166" s="20"/>
      <c r="B166" s="21"/>
      <c r="C166" s="22"/>
      <c r="D166" s="23"/>
      <c r="E166" s="22"/>
      <c r="F166" s="21"/>
      <c r="G166" s="21"/>
      <c r="H166" s="23"/>
      <c r="I166" s="21"/>
      <c r="J166" s="21"/>
      <c r="K166" s="15">
        <f t="shared" si="8"/>
        <v>164</v>
      </c>
      <c r="L166" s="16">
        <f t="shared" si="6"/>
        <v>-0.97694864764413658</v>
      </c>
      <c r="M166" s="16">
        <f t="shared" si="7"/>
        <v>0.28013551683526372</v>
      </c>
    </row>
    <row r="167" spans="1:13">
      <c r="A167" s="20"/>
      <c r="B167" s="21"/>
      <c r="C167" s="22"/>
      <c r="D167" s="23"/>
      <c r="E167" s="22"/>
      <c r="F167" s="21"/>
      <c r="G167" s="21"/>
      <c r="H167" s="23"/>
      <c r="I167" s="21"/>
      <c r="J167" s="21"/>
      <c r="K167" s="15">
        <f t="shared" si="8"/>
        <v>165</v>
      </c>
      <c r="L167" s="16">
        <f t="shared" si="6"/>
        <v>-0.9817680303563554</v>
      </c>
      <c r="M167" s="16">
        <f t="shared" si="7"/>
        <v>0.26306395088867968</v>
      </c>
    </row>
    <row r="168" spans="1:13">
      <c r="A168" s="20"/>
      <c r="B168" s="21"/>
      <c r="C168" s="22"/>
      <c r="D168" s="23"/>
      <c r="E168" s="22"/>
      <c r="F168" s="21"/>
      <c r="G168" s="21"/>
      <c r="H168" s="23"/>
      <c r="I168" s="21"/>
      <c r="J168" s="21"/>
      <c r="K168" s="15">
        <f t="shared" si="8"/>
        <v>166</v>
      </c>
      <c r="L168" s="16">
        <f t="shared" si="6"/>
        <v>-0.98628409391178495</v>
      </c>
      <c r="M168" s="16">
        <f t="shared" si="7"/>
        <v>0.24590824337102143</v>
      </c>
    </row>
    <row r="169" spans="1:13">
      <c r="A169" s="20"/>
      <c r="B169" s="21"/>
      <c r="C169" s="22"/>
      <c r="D169" s="23"/>
      <c r="E169" s="22"/>
      <c r="F169" s="21"/>
      <c r="G169" s="21"/>
      <c r="H169" s="23"/>
      <c r="I169" s="21"/>
      <c r="J169" s="21"/>
      <c r="K169" s="15">
        <f t="shared" si="8"/>
        <v>167</v>
      </c>
      <c r="L169" s="16">
        <f t="shared" si="6"/>
        <v>-0.9904953247298629</v>
      </c>
      <c r="M169" s="16">
        <f t="shared" si="7"/>
        <v>0.22867386393871092</v>
      </c>
    </row>
    <row r="170" spans="1:13">
      <c r="A170" s="20"/>
      <c r="B170" s="21"/>
      <c r="C170" s="22"/>
      <c r="D170" s="23"/>
      <c r="E170" s="22"/>
      <c r="F170" s="21"/>
      <c r="G170" s="21"/>
      <c r="H170" s="23"/>
      <c r="I170" s="21"/>
      <c r="J170" s="21"/>
      <c r="K170" s="15">
        <f t="shared" si="8"/>
        <v>168</v>
      </c>
      <c r="L170" s="16">
        <f t="shared" si="6"/>
        <v>-0.99440031080632429</v>
      </c>
      <c r="M170" s="16">
        <f t="shared" si="7"/>
        <v>0.2113663109885936</v>
      </c>
    </row>
    <row r="171" spans="1:13">
      <c r="A171" s="20"/>
      <c r="B171" s="21"/>
      <c r="C171" s="22"/>
      <c r="D171" s="23"/>
      <c r="E171" s="22"/>
      <c r="F171" s="21"/>
      <c r="G171" s="21"/>
      <c r="H171" s="23"/>
      <c r="I171" s="21"/>
      <c r="J171" s="21"/>
      <c r="K171" s="15">
        <f t="shared" si="8"/>
        <v>169</v>
      </c>
      <c r="L171" s="16">
        <f t="shared" si="6"/>
        <v>-0.99799774231046057</v>
      </c>
      <c r="M171" s="16">
        <f t="shared" si="7"/>
        <v>0.19399110966905259</v>
      </c>
    </row>
    <row r="172" spans="1:13">
      <c r="A172" s="20"/>
      <c r="B172" s="21"/>
      <c r="C172" s="22"/>
      <c r="D172" s="23"/>
      <c r="E172" s="22"/>
      <c r="F172" s="21"/>
      <c r="G172" s="21"/>
      <c r="H172" s="23"/>
      <c r="I172" s="21"/>
      <c r="J172" s="21"/>
      <c r="K172" s="15">
        <f t="shared" si="8"/>
        <v>170</v>
      </c>
      <c r="L172" s="16">
        <f t="shared" si="6"/>
        <v>-1.0012864121398257</v>
      </c>
      <c r="M172" s="16">
        <f t="shared" si="7"/>
        <v>0.1765538098770271</v>
      </c>
    </row>
    <row r="173" spans="1:13">
      <c r="A173" s="20"/>
      <c r="B173" s="21"/>
      <c r="C173" s="22"/>
      <c r="D173" s="23"/>
      <c r="E173" s="22"/>
      <c r="F173" s="21"/>
      <c r="G173" s="21"/>
      <c r="H173" s="23"/>
      <c r="I173" s="21"/>
      <c r="J173" s="21"/>
      <c r="K173" s="15">
        <f t="shared" si="8"/>
        <v>171</v>
      </c>
      <c r="L173" s="16">
        <f t="shared" si="6"/>
        <v>-1.0042652164320029</v>
      </c>
      <c r="M173" s="16">
        <f t="shared" si="7"/>
        <v>0.15905998424198223</v>
      </c>
    </row>
    <row r="174" spans="1:13">
      <c r="A174" s="20"/>
      <c r="B174" s="21"/>
      <c r="C174" s="22"/>
      <c r="D174" s="23"/>
      <c r="E174" s="22"/>
      <c r="F174" s="21"/>
      <c r="G174" s="21"/>
      <c r="H174" s="23"/>
      <c r="I174" s="21"/>
      <c r="J174" s="21"/>
      <c r="K174" s="15">
        <f t="shared" si="8"/>
        <v>172</v>
      </c>
      <c r="L174" s="16">
        <f t="shared" si="6"/>
        <v>-1.0069331550330738</v>
      </c>
      <c r="M174" s="16">
        <f t="shared" si="7"/>
        <v>0.1415152260978606</v>
      </c>
    </row>
    <row r="175" spans="1:13">
      <c r="A175" s="20"/>
      <c r="B175" s="21"/>
      <c r="C175" s="22"/>
      <c r="D175" s="23"/>
      <c r="E175" s="22"/>
      <c r="F175" s="21"/>
      <c r="G175" s="21"/>
      <c r="H175" s="23"/>
      <c r="I175" s="21"/>
      <c r="J175" s="21"/>
      <c r="K175" s="15">
        <f t="shared" si="8"/>
        <v>173</v>
      </c>
      <c r="L175" s="16">
        <f t="shared" si="6"/>
        <v>-1.0092893319224665</v>
      </c>
      <c r="M175" s="16">
        <f t="shared" si="7"/>
        <v>0.12392514744408606</v>
      </c>
    </row>
    <row r="176" spans="1:13">
      <c r="A176" s="20"/>
      <c r="B176" s="21"/>
      <c r="C176" s="22"/>
      <c r="D176" s="23"/>
      <c r="E176" s="22"/>
      <c r="F176" s="21"/>
      <c r="G176" s="21"/>
      <c r="H176" s="23"/>
      <c r="I176" s="21"/>
      <c r="J176" s="21"/>
      <c r="K176" s="15">
        <f t="shared" si="8"/>
        <v>174</v>
      </c>
      <c r="L176" s="16">
        <f t="shared" si="6"/>
        <v>-1.0113329555938875</v>
      </c>
      <c r="M176" s="16">
        <f t="shared" si="7"/>
        <v>0.10629537689667215</v>
      </c>
    </row>
    <row r="177" spans="1:13">
      <c r="A177" s="20"/>
      <c r="B177" s="21"/>
      <c r="C177" s="22"/>
      <c r="D177" s="23"/>
      <c r="E177" s="22"/>
      <c r="F177" s="21"/>
      <c r="G177" s="21"/>
      <c r="H177" s="23"/>
      <c r="I177" s="21"/>
      <c r="J177" s="21"/>
      <c r="K177" s="15">
        <f t="shared" si="8"/>
        <v>175</v>
      </c>
      <c r="L177" s="16">
        <f t="shared" si="6"/>
        <v>-1.0130633393920665</v>
      </c>
      <c r="M177" s="16">
        <f t="shared" si="7"/>
        <v>8.8631557630521482E-2</v>
      </c>
    </row>
    <row r="178" spans="1:13">
      <c r="A178" s="20"/>
      <c r="B178" s="21"/>
      <c r="C178" s="22"/>
      <c r="D178" s="23"/>
      <c r="E178" s="22"/>
      <c r="F178" s="21"/>
      <c r="G178" s="21"/>
      <c r="H178" s="23"/>
      <c r="I178" s="21"/>
      <c r="J178" s="21"/>
      <c r="K178" s="15">
        <f t="shared" si="8"/>
        <v>176</v>
      </c>
      <c r="L178" s="16">
        <f t="shared" si="6"/>
        <v>-1.014479901805081</v>
      </c>
      <c r="M178" s="16">
        <f t="shared" si="7"/>
        <v>7.0939345313995039E-2</v>
      </c>
    </row>
    <row r="179" spans="1:13">
      <c r="A179" s="20"/>
      <c r="B179" s="21"/>
      <c r="C179" s="22"/>
      <c r="D179" s="23"/>
      <c r="E179" s="22"/>
      <c r="F179" s="21"/>
      <c r="G179" s="21"/>
      <c r="H179" s="23"/>
      <c r="I179" s="21"/>
      <c r="J179" s="21"/>
      <c r="K179" s="15">
        <f t="shared" si="8"/>
        <v>177</v>
      </c>
      <c r="L179" s="16">
        <f t="shared" si="6"/>
        <v>-1.0155821667120577</v>
      </c>
      <c r="M179" s="16">
        <f t="shared" si="7"/>
        <v>5.322440603683825E-2</v>
      </c>
    </row>
    <row r="180" spans="1:13">
      <c r="A180" s="20"/>
      <c r="B180" s="21"/>
      <c r="C180" s="22"/>
      <c r="D180" s="23"/>
      <c r="E180" s="22"/>
      <c r="F180" s="21"/>
      <c r="G180" s="21"/>
      <c r="H180" s="23"/>
      <c r="I180" s="21"/>
      <c r="J180" s="21"/>
      <c r="K180" s="15">
        <f t="shared" si="8"/>
        <v>178</v>
      </c>
      <c r="L180" s="16">
        <f t="shared" si="6"/>
        <v>-1.0163697635860747</v>
      </c>
      <c r="M180" s="16">
        <f t="shared" si="7"/>
        <v>3.5492414232571622E-2</v>
      </c>
    </row>
    <row r="181" spans="1:13">
      <c r="A181" s="20"/>
      <c r="B181" s="21"/>
      <c r="C181" s="22"/>
      <c r="D181" s="23"/>
      <c r="E181" s="22"/>
      <c r="F181" s="21"/>
      <c r="G181" s="21"/>
      <c r="H181" s="23"/>
      <c r="I181" s="21"/>
      <c r="J181" s="21"/>
      <c r="K181" s="15">
        <f t="shared" si="8"/>
        <v>179</v>
      </c>
      <c r="L181" s="16">
        <f t="shared" si="6"/>
        <v>-1.0168424276521195</v>
      </c>
      <c r="M181" s="16">
        <f t="shared" si="7"/>
        <v>1.7749050596434064E-2</v>
      </c>
    </row>
    <row r="182" spans="1:13">
      <c r="A182" s="20"/>
      <c r="B182" s="21"/>
      <c r="C182" s="22"/>
      <c r="D182" s="23"/>
      <c r="E182" s="22"/>
      <c r="F182" s="21"/>
      <c r="G182" s="21"/>
      <c r="H182" s="23"/>
      <c r="I182" s="21"/>
      <c r="J182" s="21"/>
      <c r="K182" s="15">
        <f t="shared" si="8"/>
        <v>180</v>
      </c>
      <c r="L182" s="16">
        <f t="shared" si="6"/>
        <v>-1.0170000000000001</v>
      </c>
      <c r="M182" s="16">
        <f t="shared" si="7"/>
        <v>1.2459759786420666E-16</v>
      </c>
    </row>
    <row r="183" spans="1:13">
      <c r="A183" s="20"/>
      <c r="B183" s="21"/>
      <c r="C183" s="22"/>
      <c r="D183" s="23"/>
      <c r="E183" s="22"/>
      <c r="F183" s="21"/>
      <c r="G183" s="21"/>
      <c r="H183" s="23"/>
      <c r="I183" s="21"/>
      <c r="J183" s="21"/>
      <c r="K183" s="15">
        <f t="shared" si="8"/>
        <v>181</v>
      </c>
      <c r="L183" s="16">
        <f t="shared" si="6"/>
        <v>-1.0168424276521195</v>
      </c>
      <c r="M183" s="16">
        <f t="shared" si="7"/>
        <v>-1.7749050596434265E-2</v>
      </c>
    </row>
    <row r="184" spans="1:13">
      <c r="A184" s="20"/>
      <c r="B184" s="21"/>
      <c r="C184" s="22"/>
      <c r="D184" s="23"/>
      <c r="E184" s="22"/>
      <c r="F184" s="21"/>
      <c r="G184" s="21"/>
      <c r="H184" s="23"/>
      <c r="I184" s="21"/>
      <c r="J184" s="21"/>
      <c r="K184" s="15">
        <f t="shared" si="8"/>
        <v>182</v>
      </c>
      <c r="L184" s="16">
        <f t="shared" si="6"/>
        <v>-1.0163697635860747</v>
      </c>
      <c r="M184" s="16">
        <f t="shared" si="7"/>
        <v>-3.5492414232571372E-2</v>
      </c>
    </row>
    <row r="185" spans="1:13">
      <c r="A185" s="20"/>
      <c r="B185" s="21"/>
      <c r="C185" s="22"/>
      <c r="D185" s="23"/>
      <c r="E185" s="22"/>
      <c r="F185" s="21"/>
      <c r="G185" s="21"/>
      <c r="H185" s="23"/>
      <c r="I185" s="21"/>
      <c r="J185" s="21"/>
      <c r="K185" s="15">
        <f t="shared" si="8"/>
        <v>183</v>
      </c>
      <c r="L185" s="16">
        <f t="shared" si="6"/>
        <v>-1.0155821667120577</v>
      </c>
      <c r="M185" s="16">
        <f t="shared" si="7"/>
        <v>-5.3224406036838E-2</v>
      </c>
    </row>
    <row r="186" spans="1:13">
      <c r="A186" s="20"/>
      <c r="B186" s="21"/>
      <c r="C186" s="22"/>
      <c r="D186" s="23"/>
      <c r="E186" s="22"/>
      <c r="F186" s="21"/>
      <c r="G186" s="21"/>
      <c r="H186" s="23"/>
      <c r="I186" s="21"/>
      <c r="J186" s="21"/>
      <c r="K186" s="15">
        <f t="shared" si="8"/>
        <v>184</v>
      </c>
      <c r="L186" s="16">
        <f t="shared" si="6"/>
        <v>-1.014479901805081</v>
      </c>
      <c r="M186" s="16">
        <f t="shared" si="7"/>
        <v>-7.0939345313994775E-2</v>
      </c>
    </row>
    <row r="187" spans="1:13">
      <c r="A187" s="20"/>
      <c r="B187" s="21"/>
      <c r="C187" s="22"/>
      <c r="D187" s="23"/>
      <c r="E187" s="22"/>
      <c r="F187" s="21"/>
      <c r="G187" s="21"/>
      <c r="H187" s="23"/>
      <c r="I187" s="21"/>
      <c r="J187" s="21"/>
      <c r="K187" s="15">
        <f t="shared" si="8"/>
        <v>185</v>
      </c>
      <c r="L187" s="16">
        <f t="shared" si="6"/>
        <v>-1.0130633393920665</v>
      </c>
      <c r="M187" s="16">
        <f t="shared" si="7"/>
        <v>-8.8631557630521218E-2</v>
      </c>
    </row>
    <row r="188" spans="1:13">
      <c r="A188" s="20"/>
      <c r="B188" s="21"/>
      <c r="C188" s="22"/>
      <c r="D188" s="23"/>
      <c r="E188" s="22"/>
      <c r="F188" s="21"/>
      <c r="G188" s="21"/>
      <c r="H188" s="23"/>
      <c r="I188" s="21"/>
      <c r="J188" s="21"/>
      <c r="K188" s="15">
        <f t="shared" si="8"/>
        <v>186</v>
      </c>
      <c r="L188" s="16">
        <f t="shared" si="6"/>
        <v>-1.0113329555938875</v>
      </c>
      <c r="M188" s="16">
        <f t="shared" si="7"/>
        <v>-0.10629537689667191</v>
      </c>
    </row>
    <row r="189" spans="1:13">
      <c r="A189" s="20"/>
      <c r="B189" s="21"/>
      <c r="C189" s="22"/>
      <c r="D189" s="23"/>
      <c r="E189" s="22"/>
      <c r="F189" s="21"/>
      <c r="G189" s="21"/>
      <c r="H189" s="23"/>
      <c r="I189" s="21"/>
      <c r="J189" s="21"/>
      <c r="K189" s="15">
        <f t="shared" si="8"/>
        <v>187</v>
      </c>
      <c r="L189" s="16">
        <f t="shared" si="6"/>
        <v>-1.0092893319224667</v>
      </c>
      <c r="M189" s="16">
        <f t="shared" si="7"/>
        <v>-0.12392514744408582</v>
      </c>
    </row>
    <row r="190" spans="1:13">
      <c r="A190" s="20"/>
      <c r="B190" s="21"/>
      <c r="C190" s="22"/>
      <c r="D190" s="23"/>
      <c r="E190" s="22"/>
      <c r="F190" s="21"/>
      <c r="G190" s="21"/>
      <c r="H190" s="23"/>
      <c r="I190" s="21"/>
      <c r="J190" s="21"/>
      <c r="K190" s="15">
        <f t="shared" si="8"/>
        <v>188</v>
      </c>
      <c r="L190" s="16">
        <f t="shared" si="6"/>
        <v>-1.0069331550330738</v>
      </c>
      <c r="M190" s="16">
        <f t="shared" si="7"/>
        <v>-0.1415152260978608</v>
      </c>
    </row>
    <row r="191" spans="1:13">
      <c r="A191" s="20"/>
      <c r="B191" s="21"/>
      <c r="C191" s="22"/>
      <c r="D191" s="23"/>
      <c r="E191" s="22"/>
      <c r="F191" s="21"/>
      <c r="G191" s="21"/>
      <c r="H191" s="23"/>
      <c r="I191" s="21"/>
      <c r="J191" s="21"/>
      <c r="K191" s="15">
        <f t="shared" si="8"/>
        <v>189</v>
      </c>
      <c r="L191" s="16">
        <f t="shared" si="6"/>
        <v>-1.0042652164320032</v>
      </c>
      <c r="M191" s="16">
        <f t="shared" si="7"/>
        <v>-0.15905998424198198</v>
      </c>
    </row>
    <row r="192" spans="1:13">
      <c r="A192" s="20"/>
      <c r="B192" s="21"/>
      <c r="C192" s="22"/>
      <c r="D192" s="23"/>
      <c r="E192" s="22"/>
      <c r="F192" s="21"/>
      <c r="G192" s="21"/>
      <c r="H192" s="23"/>
      <c r="I192" s="21"/>
      <c r="J192" s="21"/>
      <c r="K192" s="15">
        <f t="shared" si="8"/>
        <v>190</v>
      </c>
      <c r="L192" s="16">
        <f t="shared" si="6"/>
        <v>-1.0012864121398257</v>
      </c>
      <c r="M192" s="16">
        <f t="shared" si="7"/>
        <v>-0.17655380987702732</v>
      </c>
    </row>
    <row r="193" spans="1:13">
      <c r="A193" s="20"/>
      <c r="B193" s="21"/>
      <c r="C193" s="22"/>
      <c r="D193" s="23"/>
      <c r="E193" s="22"/>
      <c r="F193" s="21"/>
      <c r="G193" s="21"/>
      <c r="H193" s="23"/>
      <c r="I193" s="21"/>
      <c r="J193" s="21"/>
      <c r="K193" s="15">
        <f t="shared" si="8"/>
        <v>191</v>
      </c>
      <c r="L193" s="16">
        <f t="shared" si="6"/>
        <v>-0.99799774231046057</v>
      </c>
      <c r="M193" s="16">
        <f t="shared" si="7"/>
        <v>-0.19399110966905234</v>
      </c>
    </row>
    <row r="194" spans="1:13">
      <c r="A194" s="20"/>
      <c r="B194" s="21"/>
      <c r="C194" s="22"/>
      <c r="D194" s="23"/>
      <c r="E194" s="22"/>
      <c r="F194" s="21"/>
      <c r="G194" s="21"/>
      <c r="H194" s="23"/>
      <c r="I194" s="21"/>
      <c r="J194" s="21"/>
      <c r="K194" s="15">
        <f t="shared" si="8"/>
        <v>192</v>
      </c>
      <c r="L194" s="16">
        <f t="shared" si="6"/>
        <v>-0.99440031080632418</v>
      </c>
      <c r="M194" s="16">
        <f t="shared" si="7"/>
        <v>-0.21136631098859382</v>
      </c>
    </row>
    <row r="195" spans="1:13">
      <c r="A195" s="20"/>
      <c r="B195" s="21"/>
      <c r="C195" s="22"/>
      <c r="D195" s="23"/>
      <c r="E195" s="22"/>
      <c r="F195" s="21"/>
      <c r="G195" s="21"/>
      <c r="H195" s="23"/>
      <c r="I195" s="21"/>
      <c r="J195" s="21"/>
      <c r="K195" s="15">
        <f t="shared" si="8"/>
        <v>193</v>
      </c>
      <c r="L195" s="16">
        <f t="shared" ref="L195:L258" si="9">IF($D$2="","", ($D$2*(1-$E$2^2)/(1+$E$2*COS(RADIANS(K195)))) * COS(RADIANS(K195)) )</f>
        <v>-0.99049532472986301</v>
      </c>
      <c r="M195" s="16">
        <f t="shared" ref="M195:M258" si="10">IF($D$2="","", ($D$2*(1-$E$2^2)/(1+$E$2*COS(RADIANS(K195)))) * SIN(RADIANS(K195)) )</f>
        <v>-0.2286738639387107</v>
      </c>
    </row>
    <row r="196" spans="1:13">
      <c r="A196" s="20"/>
      <c r="B196" s="21"/>
      <c r="C196" s="22"/>
      <c r="D196" s="23"/>
      <c r="E196" s="22"/>
      <c r="F196" s="21"/>
      <c r="G196" s="21"/>
      <c r="H196" s="23"/>
      <c r="I196" s="21"/>
      <c r="J196" s="21"/>
      <c r="K196" s="15">
        <f t="shared" ref="K196:K259" si="11">K195+1</f>
        <v>194</v>
      </c>
      <c r="L196" s="16">
        <f t="shared" si="9"/>
        <v>-0.98628409391178495</v>
      </c>
      <c r="M196" s="16">
        <f t="shared" si="10"/>
        <v>-0.24590824337102121</v>
      </c>
    </row>
    <row r="197" spans="1:13">
      <c r="A197" s="20"/>
      <c r="B197" s="21"/>
      <c r="C197" s="22"/>
      <c r="D197" s="23"/>
      <c r="E197" s="22"/>
      <c r="F197" s="21"/>
      <c r="G197" s="21"/>
      <c r="H197" s="23"/>
      <c r="I197" s="21"/>
      <c r="J197" s="21"/>
      <c r="K197" s="15">
        <f t="shared" si="11"/>
        <v>195</v>
      </c>
      <c r="L197" s="16">
        <f t="shared" si="9"/>
        <v>-0.98176803035635551</v>
      </c>
      <c r="M197" s="16">
        <f t="shared" si="10"/>
        <v>-0.26306395088867945</v>
      </c>
    </row>
    <row r="198" spans="1:13">
      <c r="A198" s="20"/>
      <c r="B198" s="21"/>
      <c r="C198" s="22"/>
      <c r="D198" s="23"/>
      <c r="E198" s="22"/>
      <c r="F198" s="21"/>
      <c r="G198" s="21"/>
      <c r="H198" s="23"/>
      <c r="I198" s="21"/>
      <c r="J198" s="21"/>
      <c r="K198" s="15">
        <f t="shared" si="11"/>
        <v>196</v>
      </c>
      <c r="L198" s="16">
        <f t="shared" si="9"/>
        <v>-0.97694864764413658</v>
      </c>
      <c r="M198" s="16">
        <f t="shared" si="10"/>
        <v>-0.28013551683526344</v>
      </c>
    </row>
    <row r="199" spans="1:13">
      <c r="A199" s="20"/>
      <c r="B199" s="21"/>
      <c r="C199" s="22"/>
      <c r="D199" s="23"/>
      <c r="E199" s="22"/>
      <c r="F199" s="21"/>
      <c r="G199" s="21"/>
      <c r="H199" s="23"/>
      <c r="I199" s="21"/>
      <c r="J199" s="21"/>
      <c r="K199" s="15">
        <f t="shared" si="11"/>
        <v>197</v>
      </c>
      <c r="L199" s="16">
        <f t="shared" si="9"/>
        <v>-0.97182756029258588</v>
      </c>
      <c r="M199" s="16">
        <f t="shared" si="10"/>
        <v>-0.29711750226855965</v>
      </c>
    </row>
    <row r="200" spans="1:13">
      <c r="A200" s="20"/>
      <c r="B200" s="21"/>
      <c r="C200" s="22"/>
      <c r="D200" s="23"/>
      <c r="E200" s="22"/>
      <c r="F200" s="21"/>
      <c r="G200" s="21"/>
      <c r="H200" s="23"/>
      <c r="I200" s="21"/>
      <c r="J200" s="21"/>
      <c r="K200" s="15">
        <f t="shared" si="11"/>
        <v>198</v>
      </c>
      <c r="L200" s="16">
        <f t="shared" si="9"/>
        <v>-0.9664064830749558</v>
      </c>
      <c r="M200" s="16">
        <f t="shared" si="10"/>
        <v>-0.31400450091822579</v>
      </c>
    </row>
    <row r="201" spans="1:13">
      <c r="A201" s="20"/>
      <c r="B201" s="21"/>
      <c r="C201" s="22"/>
      <c r="D201" s="23"/>
      <c r="E201" s="22"/>
      <c r="F201" s="21"/>
      <c r="G201" s="21"/>
      <c r="H201" s="23"/>
      <c r="I201" s="21"/>
      <c r="J201" s="21"/>
      <c r="K201" s="15">
        <f t="shared" si="11"/>
        <v>199</v>
      </c>
      <c r="L201" s="16">
        <f t="shared" si="9"/>
        <v>-0.96068723029796077</v>
      </c>
      <c r="M201" s="16">
        <f t="shared" si="10"/>
        <v>-0.33079114112635594</v>
      </c>
    </row>
    <row r="202" spans="1:13">
      <c r="A202" s="20"/>
      <c r="B202" s="21"/>
      <c r="C202" s="22"/>
      <c r="D202" s="23"/>
      <c r="E202" s="22"/>
      <c r="F202" s="21"/>
      <c r="G202" s="21"/>
      <c r="H202" s="23"/>
      <c r="I202" s="21"/>
      <c r="J202" s="21"/>
      <c r="K202" s="15">
        <f t="shared" si="11"/>
        <v>200</v>
      </c>
      <c r="L202" s="16">
        <f t="shared" si="9"/>
        <v>-0.95467171503871484</v>
      </c>
      <c r="M202" s="16">
        <f t="shared" si="10"/>
        <v>-0.34747208776995814</v>
      </c>
    </row>
    <row r="203" spans="1:13">
      <c r="A203" s="20"/>
      <c r="B203" s="21"/>
      <c r="C203" s="22"/>
      <c r="D203" s="23"/>
      <c r="E203" s="22"/>
      <c r="F203" s="21"/>
      <c r="G203" s="21"/>
      <c r="H203" s="23"/>
      <c r="I203" s="21"/>
      <c r="J203" s="21"/>
      <c r="K203" s="15">
        <f t="shared" si="11"/>
        <v>201</v>
      </c>
      <c r="L203" s="16">
        <f t="shared" si="9"/>
        <v>-0.94836194834145149</v>
      </c>
      <c r="M203" s="16">
        <f t="shared" si="10"/>
        <v>-0.36404204416439828</v>
      </c>
    </row>
    <row r="204" spans="1:13">
      <c r="A204" s="20"/>
      <c r="B204" s="21"/>
      <c r="C204" s="22"/>
      <c r="D204" s="23"/>
      <c r="E204" s="22"/>
      <c r="F204" s="21"/>
      <c r="G204" s="21"/>
      <c r="H204" s="23"/>
      <c r="I204" s="21"/>
      <c r="J204" s="21"/>
      <c r="K204" s="15">
        <f t="shared" si="11"/>
        <v>202</v>
      </c>
      <c r="L204" s="16">
        <f t="shared" si="9"/>
        <v>-0.94176003837458866</v>
      </c>
      <c r="M204" s="16">
        <f t="shared" si="10"/>
        <v>-0.38049575394685747</v>
      </c>
    </row>
    <row r="205" spans="1:13">
      <c r="A205" s="20"/>
      <c r="B205" s="21"/>
      <c r="C205" s="22"/>
      <c r="D205" s="23"/>
      <c r="E205" s="22"/>
      <c r="F205" s="21"/>
      <c r="G205" s="21"/>
      <c r="H205" s="23"/>
      <c r="I205" s="21"/>
      <c r="J205" s="21"/>
      <c r="K205" s="15">
        <f t="shared" si="11"/>
        <v>203</v>
      </c>
      <c r="L205" s="16">
        <f t="shared" si="9"/>
        <v>-0.93486818954869655</v>
      </c>
      <c r="M205" s="16">
        <f t="shared" si="10"/>
        <v>-0.39682800293888865</v>
      </c>
    </row>
    <row r="206" spans="1:13">
      <c r="A206" s="20"/>
      <c r="B206" s="21"/>
      <c r="C206" s="22"/>
      <c r="D206" s="23"/>
      <c r="E206" s="22"/>
      <c r="F206" s="21"/>
      <c r="G206" s="21"/>
      <c r="H206" s="23"/>
      <c r="I206" s="21"/>
      <c r="J206" s="21"/>
      <c r="K206" s="15">
        <f t="shared" si="11"/>
        <v>204</v>
      </c>
      <c r="L206" s="16">
        <f t="shared" si="9"/>
        <v>-0.92768870159598149</v>
      </c>
      <c r="M206" s="16">
        <f t="shared" si="10"/>
        <v>-0.41303362098716173</v>
      </c>
    </row>
    <row r="207" spans="1:13">
      <c r="A207" s="20"/>
      <c r="B207" s="21"/>
      <c r="C207" s="22"/>
      <c r="D207" s="23"/>
      <c r="E207" s="22"/>
      <c r="F207" s="21"/>
      <c r="G207" s="21"/>
      <c r="H207" s="23"/>
      <c r="I207" s="21"/>
      <c r="J207" s="21"/>
      <c r="K207" s="15">
        <f t="shared" si="11"/>
        <v>205</v>
      </c>
      <c r="L207" s="16">
        <f t="shared" si="9"/>
        <v>-0.92022396861189892</v>
      </c>
      <c r="M207" s="16">
        <f t="shared" si="10"/>
        <v>-0.42910748378151331</v>
      </c>
    </row>
    <row r="208" spans="1:13">
      <c r="A208" s="20"/>
      <c r="B208" s="21"/>
      <c r="C208" s="22"/>
      <c r="D208" s="23"/>
      <c r="E208" s="22"/>
      <c r="F208" s="21"/>
      <c r="G208" s="21"/>
      <c r="H208" s="23"/>
      <c r="I208" s="21"/>
      <c r="J208" s="21"/>
      <c r="K208" s="15">
        <f t="shared" si="11"/>
        <v>206</v>
      </c>
      <c r="L208" s="16">
        <f t="shared" si="9"/>
        <v>-0.91247647805954157</v>
      </c>
      <c r="M208" s="16">
        <f t="shared" si="10"/>
        <v>-0.44504451464944078</v>
      </c>
    </row>
    <row r="209" spans="1:13">
      <c r="A209" s="20"/>
      <c r="B209" s="21"/>
      <c r="C209" s="22"/>
      <c r="D209" s="23"/>
      <c r="E209" s="22"/>
      <c r="F209" s="21"/>
      <c r="G209" s="21"/>
      <c r="H209" s="23"/>
      <c r="I209" s="21"/>
      <c r="J209" s="21"/>
      <c r="K209" s="15">
        <f t="shared" si="11"/>
        <v>207</v>
      </c>
      <c r="L209" s="16">
        <f t="shared" si="9"/>
        <v>-0.90444880973747577</v>
      </c>
      <c r="M209" s="16">
        <f t="shared" si="10"/>
        <v>-0.46083968632618832</v>
      </c>
    </row>
    <row r="210" spans="1:13">
      <c r="A210" s="20"/>
      <c r="B210" s="21"/>
      <c r="C210" s="22"/>
      <c r="D210" s="23"/>
      <c r="E210" s="22"/>
      <c r="F210" s="21"/>
      <c r="G210" s="21"/>
      <c r="H210" s="23"/>
      <c r="I210" s="21"/>
      <c r="J210" s="21"/>
      <c r="K210" s="15">
        <f t="shared" si="11"/>
        <v>208</v>
      </c>
      <c r="L210" s="16">
        <f t="shared" si="9"/>
        <v>-0.8961436347117081</v>
      </c>
      <c r="M210" s="16">
        <f t="shared" si="10"/>
        <v>-0.47648802269961427</v>
      </c>
    </row>
    <row r="211" spans="1:13">
      <c r="A211" s="20"/>
      <c r="B211" s="21"/>
      <c r="C211" s="22"/>
      <c r="D211" s="23"/>
      <c r="E211" s="22"/>
      <c r="F211" s="21"/>
      <c r="G211" s="21"/>
      <c r="H211" s="23"/>
      <c r="I211" s="21"/>
      <c r="J211" s="21"/>
      <c r="K211" s="15">
        <f t="shared" si="11"/>
        <v>209</v>
      </c>
      <c r="L211" s="16">
        <f t="shared" si="9"/>
        <v>-0.88756371421249813</v>
      </c>
      <c r="M211" s="16">
        <f t="shared" si="10"/>
        <v>-0.49198460052902621</v>
      </c>
    </row>
    <row r="212" spans="1:13">
      <c r="A212" s="20"/>
      <c r="B212" s="21"/>
      <c r="C212" s="22"/>
      <c r="D212" s="23"/>
      <c r="E212" s="22"/>
      <c r="F212" s="21"/>
      <c r="G212" s="21"/>
      <c r="H212" s="23"/>
      <c r="I212" s="21"/>
      <c r="J212" s="21"/>
      <c r="K212" s="15">
        <f t="shared" si="11"/>
        <v>210</v>
      </c>
      <c r="L212" s="16">
        <f t="shared" si="9"/>
        <v>-0.87871189849674403</v>
      </c>
      <c r="M212" s="16">
        <f t="shared" si="10"/>
        <v>-0.50732455113722241</v>
      </c>
    </row>
    <row r="213" spans="1:13">
      <c r="A213" s="20"/>
      <c r="B213" s="21"/>
      <c r="C213" s="22"/>
      <c r="D213" s="23"/>
      <c r="E213" s="22"/>
      <c r="F213" s="21"/>
      <c r="G213" s="21"/>
      <c r="H213" s="23"/>
      <c r="I213" s="21"/>
      <c r="J213" s="21"/>
      <c r="K213" s="15">
        <f t="shared" si="11"/>
        <v>211</v>
      </c>
      <c r="L213" s="16">
        <f t="shared" si="9"/>
        <v>-0.86959112567669306</v>
      </c>
      <c r="M213" s="16">
        <f t="shared" si="10"/>
        <v>-0.52250306207497077</v>
      </c>
    </row>
    <row r="214" spans="1:13">
      <c r="A214" s="20"/>
      <c r="B214" s="21"/>
      <c r="C214" s="22"/>
      <c r="D214" s="23"/>
      <c r="E214" s="22"/>
      <c r="F214" s="21"/>
      <c r="G214" s="21"/>
      <c r="H214" s="23"/>
      <c r="I214" s="21"/>
      <c r="J214" s="21"/>
      <c r="K214" s="15">
        <f t="shared" si="11"/>
        <v>212</v>
      </c>
      <c r="L214" s="16">
        <f t="shared" si="9"/>
        <v>-0.8602044205157402</v>
      </c>
      <c r="M214" s="16">
        <f t="shared" si="10"/>
        <v>-0.53751537875720889</v>
      </c>
    </row>
    <row r="215" spans="1:13">
      <c r="A215" s="20"/>
      <c r="B215" s="21"/>
      <c r="C215" s="22"/>
      <c r="D215" s="23"/>
      <c r="E215" s="22"/>
      <c r="F215" s="21"/>
      <c r="G215" s="21"/>
      <c r="H215" s="23"/>
      <c r="I215" s="21"/>
      <c r="J215" s="21"/>
      <c r="K215" s="15">
        <f t="shared" si="11"/>
        <v>213</v>
      </c>
      <c r="L215" s="16">
        <f t="shared" si="9"/>
        <v>-0.85055489319210498</v>
      </c>
      <c r="M215" s="16">
        <f t="shared" si="10"/>
        <v>-0.55235680607025051</v>
      </c>
    </row>
    <row r="216" spans="1:13">
      <c r="A216" s="20"/>
      <c r="B216" s="21"/>
      <c r="C216" s="22"/>
      <c r="D216" s="23"/>
      <c r="E216" s="22"/>
      <c r="F216" s="21"/>
      <c r="G216" s="21"/>
      <c r="H216" s="23"/>
      <c r="I216" s="21"/>
      <c r="J216" s="21"/>
      <c r="K216" s="15">
        <f t="shared" si="11"/>
        <v>214</v>
      </c>
      <c r="L216" s="16">
        <f t="shared" si="9"/>
        <v>-0.84064573803118758</v>
      </c>
      <c r="M216" s="16">
        <f t="shared" si="10"/>
        <v>-0.56702270994932313</v>
      </c>
    </row>
    <row r="217" spans="1:13">
      <c r="A217" s="20"/>
      <c r="B217" s="21"/>
      <c r="C217" s="22"/>
      <c r="D217" s="23"/>
      <c r="E217" s="22"/>
      <c r="F217" s="21"/>
      <c r="G217" s="21"/>
      <c r="H217" s="23"/>
      <c r="I217" s="21"/>
      <c r="J217" s="21"/>
      <c r="K217" s="15">
        <f t="shared" si="11"/>
        <v>215</v>
      </c>
      <c r="L217" s="16">
        <f t="shared" si="9"/>
        <v>-0.8304802322074154</v>
      </c>
      <c r="M217" s="16">
        <f t="shared" si="10"/>
        <v>-0.58150851892578259</v>
      </c>
    </row>
    <row r="218" spans="1:13">
      <c r="A218" s="20"/>
      <c r="B218" s="21"/>
      <c r="C218" s="22"/>
      <c r="D218" s="23"/>
      <c r="E218" s="22"/>
      <c r="F218" s="21"/>
      <c r="G218" s="21"/>
      <c r="H218" s="23"/>
      <c r="I218" s="21"/>
      <c r="J218" s="21"/>
      <c r="K218" s="15">
        <f t="shared" si="11"/>
        <v>216</v>
      </c>
      <c r="L218" s="16">
        <f t="shared" si="9"/>
        <v>-0.82006173441642438</v>
      </c>
      <c r="M218" s="16">
        <f t="shared" si="10"/>
        <v>-0.59580972564336965</v>
      </c>
    </row>
    <row r="219" spans="1:13">
      <c r="A219" s="20"/>
      <c r="B219" s="21"/>
      <c r="C219" s="22"/>
      <c r="D219" s="23"/>
      <c r="E219" s="22"/>
      <c r="F219" s="21"/>
      <c r="G219" s="21"/>
      <c r="H219" s="23"/>
      <c r="I219" s="21"/>
      <c r="J219" s="21"/>
      <c r="K219" s="15">
        <f t="shared" si="11"/>
        <v>217</v>
      </c>
      <c r="L219" s="16">
        <f t="shared" si="9"/>
        <v>-0.80939368351840746</v>
      </c>
      <c r="M219" s="16">
        <f t="shared" si="10"/>
        <v>-0.60992188834291527</v>
      </c>
    </row>
    <row r="220" spans="1:13">
      <c r="A220" s="20"/>
      <c r="B220" s="21"/>
      <c r="C220" s="22"/>
      <c r="D220" s="23"/>
      <c r="E220" s="22"/>
      <c r="F220" s="21"/>
      <c r="G220" s="21"/>
      <c r="H220" s="23"/>
      <c r="I220" s="21"/>
      <c r="J220" s="21"/>
      <c r="K220" s="15">
        <f t="shared" si="11"/>
        <v>218</v>
      </c>
      <c r="L220" s="16">
        <f t="shared" si="9"/>
        <v>-0.79847959715350258</v>
      </c>
      <c r="M220" s="16">
        <f t="shared" si="10"/>
        <v>-0.6238406323149055</v>
      </c>
    </row>
    <row r="221" spans="1:13">
      <c r="A221" s="20"/>
      <c r="B221" s="21"/>
      <c r="C221" s="22"/>
      <c r="D221" s="23"/>
      <c r="E221" s="22"/>
      <c r="F221" s="21"/>
      <c r="G221" s="21"/>
      <c r="H221" s="23"/>
      <c r="I221" s="21"/>
      <c r="J221" s="21"/>
      <c r="K221" s="15">
        <f t="shared" si="11"/>
        <v>219</v>
      </c>
      <c r="L221" s="16">
        <f t="shared" si="9"/>
        <v>-0.78732307033008153</v>
      </c>
      <c r="M221" s="16">
        <f t="shared" si="10"/>
        <v>-0.63756165131936993</v>
      </c>
    </row>
    <row r="222" spans="1:13">
      <c r="A222" s="20"/>
      <c r="B222" s="21"/>
      <c r="C222" s="22"/>
      <c r="D222" s="23"/>
      <c r="E222" s="22"/>
      <c r="F222" s="21"/>
      <c r="G222" s="21"/>
      <c r="H222" s="23"/>
      <c r="I222" s="21"/>
      <c r="J222" s="21"/>
      <c r="K222" s="15">
        <f t="shared" si="11"/>
        <v>220</v>
      </c>
      <c r="L222" s="16">
        <f t="shared" si="9"/>
        <v>-0.77592777398682966</v>
      </c>
      <c r="M222" s="16">
        <f t="shared" si="10"/>
        <v>-0.65108070897255654</v>
      </c>
    </row>
    <row r="223" spans="1:13">
      <c r="A223" s="20"/>
      <c r="B223" s="21"/>
      <c r="C223" s="22"/>
      <c r="D223" s="23"/>
      <c r="E223" s="22"/>
      <c r="F223" s="21"/>
      <c r="G223" s="21"/>
      <c r="H223" s="23"/>
      <c r="I223" s="21"/>
      <c r="J223" s="21"/>
      <c r="K223" s="15">
        <f t="shared" si="11"/>
        <v>221</v>
      </c>
      <c r="L223" s="16">
        <f t="shared" si="9"/>
        <v>-0.76429745352950373</v>
      </c>
      <c r="M223" s="16">
        <f t="shared" si="10"/>
        <v>-0.66439364009991109</v>
      </c>
    </row>
    <row r="224" spans="1:13">
      <c r="A224" s="20"/>
      <c r="B224" s="21"/>
      <c r="C224" s="22"/>
      <c r="D224" s="23"/>
      <c r="E224" s="22"/>
      <c r="F224" s="21"/>
      <c r="G224" s="21"/>
      <c r="H224" s="23"/>
      <c r="I224" s="21"/>
      <c r="J224" s="21"/>
      <c r="K224" s="15">
        <f t="shared" si="11"/>
        <v>222</v>
      </c>
      <c r="L224" s="16">
        <f t="shared" si="9"/>
        <v>-0.7524359273432748</v>
      </c>
      <c r="M224" s="16">
        <f t="shared" si="10"/>
        <v>-0.67749635205488024</v>
      </c>
    </row>
    <row r="225" spans="1:13">
      <c r="A225" s="20"/>
      <c r="B225" s="21"/>
      <c r="C225" s="22"/>
      <c r="D225" s="23"/>
      <c r="E225" s="22"/>
      <c r="F225" s="21"/>
      <c r="G225" s="21"/>
      <c r="H225" s="23"/>
      <c r="I225" s="21"/>
      <c r="J225" s="21"/>
      <c r="K225" s="15">
        <f t="shared" si="11"/>
        <v>223</v>
      </c>
      <c r="L225" s="16">
        <f t="shared" si="9"/>
        <v>-0.74034708528156445</v>
      </c>
      <c r="M225" s="16">
        <f t="shared" si="10"/>
        <v>-0.69038482600310458</v>
      </c>
    </row>
    <row r="226" spans="1:13">
      <c r="A226" s="20"/>
      <c r="B226" s="21"/>
      <c r="C226" s="22"/>
      <c r="D226" s="23"/>
      <c r="E226" s="22"/>
      <c r="F226" s="21"/>
      <c r="G226" s="21"/>
      <c r="H226" s="23"/>
      <c r="I226" s="21"/>
      <c r="J226" s="21"/>
      <c r="K226" s="15">
        <f t="shared" si="11"/>
        <v>224</v>
      </c>
      <c r="L226" s="16">
        <f t="shared" si="9"/>
        <v>-0.72803488713229159</v>
      </c>
      <c r="M226" s="16">
        <f t="shared" si="10"/>
        <v>-0.70305511817158917</v>
      </c>
    </row>
    <row r="227" spans="1:13">
      <c r="A227" s="20"/>
      <c r="B227" s="21"/>
      <c r="C227" s="22"/>
      <c r="D227" s="23"/>
      <c r="E227" s="22"/>
      <c r="F227" s="21"/>
      <c r="G227" s="21"/>
      <c r="H227" s="23"/>
      <c r="I227" s="21"/>
      <c r="J227" s="21"/>
      <c r="K227" s="15">
        <f t="shared" si="11"/>
        <v>225</v>
      </c>
      <c r="L227" s="16">
        <f t="shared" si="9"/>
        <v>-0.71550336106245838</v>
      </c>
      <c r="M227" s="16">
        <f t="shared" si="10"/>
        <v>-0.71550336106245815</v>
      </c>
    </row>
    <row r="228" spans="1:13">
      <c r="A228" s="20"/>
      <c r="B228" s="21"/>
      <c r="C228" s="22"/>
      <c r="D228" s="23"/>
      <c r="E228" s="22"/>
      <c r="F228" s="21"/>
      <c r="G228" s="21"/>
      <c r="H228" s="23"/>
      <c r="I228" s="21"/>
      <c r="J228" s="21"/>
      <c r="K228" s="15">
        <f t="shared" si="11"/>
        <v>226</v>
      </c>
      <c r="L228" s="16">
        <f t="shared" si="9"/>
        <v>-0.70275660204199919</v>
      </c>
      <c r="M228" s="16">
        <f t="shared" si="10"/>
        <v>-0.72772576463094596</v>
      </c>
    </row>
    <row r="229" spans="1:13">
      <c r="A229" s="20"/>
      <c r="B229" s="21"/>
      <c r="C229" s="22"/>
      <c r="D229" s="23"/>
      <c r="E229" s="22"/>
      <c r="F229" s="21"/>
      <c r="G229" s="21"/>
      <c r="H229" s="23"/>
      <c r="I229" s="21"/>
      <c r="J229" s="21"/>
      <c r="K229" s="15">
        <f t="shared" si="11"/>
        <v>227</v>
      </c>
      <c r="L229" s="16">
        <f t="shared" si="9"/>
        <v>-0.68979877024783709</v>
      </c>
      <c r="M229" s="16">
        <f t="shared" si="10"/>
        <v>-0.73971861742728529</v>
      </c>
    </row>
    <row r="230" spans="1:13">
      <c r="A230" s="20"/>
      <c r="B230" s="21"/>
      <c r="C230" s="22"/>
      <c r="D230" s="23"/>
      <c r="E230" s="22"/>
      <c r="F230" s="21"/>
      <c r="G230" s="21"/>
      <c r="H230" s="23"/>
      <c r="I230" s="21"/>
      <c r="J230" s="21"/>
      <c r="K230" s="15">
        <f t="shared" si="11"/>
        <v>228</v>
      </c>
      <c r="L230" s="16">
        <f t="shared" si="9"/>
        <v>-0.67663408944907466</v>
      </c>
      <c r="M230" s="16">
        <f t="shared" si="10"/>
        <v>-0.75147828770219804</v>
      </c>
    </row>
    <row r="231" spans="1:13">
      <c r="A231" s="20"/>
      <c r="B231" s="21"/>
      <c r="C231" s="22"/>
      <c r="D231" s="23"/>
      <c r="E231" s="22"/>
      <c r="F231" s="21"/>
      <c r="G231" s="21"/>
      <c r="H231" s="23"/>
      <c r="I231" s="21"/>
      <c r="J231" s="21"/>
      <c r="K231" s="15">
        <f t="shared" si="11"/>
        <v>229</v>
      </c>
      <c r="L231" s="16">
        <f t="shared" si="9"/>
        <v>-0.66326684537427227</v>
      </c>
      <c r="M231" s="16">
        <f t="shared" si="10"/>
        <v>-0.76300122447570529</v>
      </c>
    </row>
    <row r="232" spans="1:13">
      <c r="A232" s="20"/>
      <c r="B232" s="21"/>
      <c r="C232" s="22"/>
      <c r="D232" s="23"/>
      <c r="E232" s="22"/>
      <c r="F232" s="21"/>
      <c r="G232" s="21"/>
      <c r="H232" s="23"/>
      <c r="I232" s="21"/>
      <c r="J232" s="21"/>
      <c r="K232" s="15">
        <f t="shared" si="11"/>
        <v>230</v>
      </c>
      <c r="L232" s="16">
        <f t="shared" si="9"/>
        <v>-0.6497013840617486</v>
      </c>
      <c r="M232" s="16">
        <f t="shared" si="10"/>
        <v>-0.7742839585690191</v>
      </c>
    </row>
    <row r="233" spans="1:13">
      <c r="A233" s="20"/>
      <c r="B233" s="21"/>
      <c r="C233" s="22"/>
      <c r="D233" s="23"/>
      <c r="E233" s="22"/>
      <c r="F233" s="21"/>
      <c r="G233" s="21"/>
      <c r="H233" s="23"/>
      <c r="I233" s="21"/>
      <c r="J233" s="21"/>
      <c r="K233" s="15">
        <f t="shared" si="11"/>
        <v>231</v>
      </c>
      <c r="L233" s="16">
        <f t="shared" si="9"/>
        <v>-0.63594211019385272</v>
      </c>
      <c r="M233" s="16">
        <f t="shared" si="10"/>
        <v>-0.78532310359928825</v>
      </c>
    </row>
    <row r="234" spans="1:13">
      <c r="A234" s="20"/>
      <c r="B234" s="21"/>
      <c r="C234" s="22"/>
      <c r="D234" s="23"/>
      <c r="E234" s="22"/>
      <c r="F234" s="21"/>
      <c r="G234" s="21"/>
      <c r="H234" s="23"/>
      <c r="I234" s="21"/>
      <c r="J234" s="21"/>
      <c r="K234" s="15">
        <f t="shared" si="11"/>
        <v>232</v>
      </c>
      <c r="L234" s="16">
        <f t="shared" si="9"/>
        <v>-0.62199348541615129</v>
      </c>
      <c r="M234" s="16">
        <f t="shared" si="10"/>
        <v>-0.79611535693701108</v>
      </c>
    </row>
    <row r="235" spans="1:13">
      <c r="A235" s="20"/>
      <c r="B235" s="21"/>
      <c r="C235" s="22"/>
      <c r="D235" s="23"/>
      <c r="E235" s="22"/>
      <c r="F235" s="21"/>
      <c r="G235" s="21"/>
      <c r="H235" s="23"/>
      <c r="I235" s="21"/>
      <c r="J235" s="21"/>
      <c r="K235" s="15">
        <f t="shared" si="11"/>
        <v>233</v>
      </c>
      <c r="L235" s="16">
        <f t="shared" si="9"/>
        <v>-0.60786002664247707</v>
      </c>
      <c r="M235" s="16">
        <f t="shared" si="10"/>
        <v>-0.80665750062594377</v>
      </c>
    </row>
    <row r="236" spans="1:13">
      <c r="A236" s="20"/>
      <c r="B236" s="21"/>
      <c r="C236" s="22"/>
      <c r="D236" s="23"/>
      <c r="E236" s="22"/>
      <c r="F236" s="21"/>
      <c r="G236" s="21"/>
      <c r="H236" s="23"/>
      <c r="I236" s="21"/>
      <c r="J236" s="21"/>
      <c r="K236" s="15">
        <f t="shared" si="11"/>
        <v>234</v>
      </c>
      <c r="L236" s="16">
        <f t="shared" si="9"/>
        <v>-0.59354630434677225</v>
      </c>
      <c r="M236" s="16">
        <f t="shared" si="10"/>
        <v>-0.81694640226537785</v>
      </c>
    </row>
    <row r="237" spans="1:13">
      <c r="A237" s="20"/>
      <c r="B237" s="21"/>
      <c r="C237" s="22"/>
      <c r="D237" s="23"/>
      <c r="E237" s="22"/>
      <c r="F237" s="21"/>
      <c r="G237" s="21"/>
      <c r="H237" s="23"/>
      <c r="I237" s="21"/>
      <c r="J237" s="21"/>
      <c r="K237" s="15">
        <f t="shared" si="11"/>
        <v>235</v>
      </c>
      <c r="L237" s="16">
        <f t="shared" si="9"/>
        <v>-0.57905694084267989</v>
      </c>
      <c r="M237" s="16">
        <f t="shared" si="10"/>
        <v>-0.82697901585465916</v>
      </c>
    </row>
    <row r="238" spans="1:13">
      <c r="A238" s="20"/>
      <c r="B238" s="21"/>
      <c r="C238" s="22"/>
      <c r="D238" s="23"/>
      <c r="E238" s="22"/>
      <c r="F238" s="21"/>
      <c r="G238" s="21"/>
      <c r="H238" s="23"/>
      <c r="I238" s="21"/>
      <c r="J238" s="21"/>
      <c r="K238" s="15">
        <f t="shared" si="11"/>
        <v>236</v>
      </c>
      <c r="L238" s="16">
        <f t="shared" si="9"/>
        <v>-0.56439660855181073</v>
      </c>
      <c r="M238" s="16">
        <f t="shared" si="10"/>
        <v>-0.83675238259987905</v>
      </c>
    </row>
    <row r="239" spans="1:13">
      <c r="A239" s="20"/>
      <c r="B239" s="21"/>
      <c r="C239" s="22"/>
      <c r="D239" s="23"/>
      <c r="E239" s="22"/>
      <c r="F239" s="21"/>
      <c r="G239" s="21"/>
      <c r="H239" s="23"/>
      <c r="I239" s="21"/>
      <c r="J239" s="21"/>
      <c r="K239" s="15">
        <f t="shared" si="11"/>
        <v>237</v>
      </c>
      <c r="L239" s="16">
        <f t="shared" si="9"/>
        <v>-0.5495700282616226</v>
      </c>
      <c r="M239" s="16">
        <f t="shared" si="10"/>
        <v>-0.84626363168266305</v>
      </c>
    </row>
    <row r="240" spans="1:13">
      <c r="A240" s="20"/>
      <c r="B240" s="21"/>
      <c r="C240" s="22"/>
      <c r="D240" s="23"/>
      <c r="E240" s="22"/>
      <c r="F240" s="21"/>
      <c r="G240" s="21"/>
      <c r="H240" s="23"/>
      <c r="I240" s="21"/>
      <c r="J240" s="21"/>
      <c r="K240" s="15">
        <f t="shared" si="11"/>
        <v>238</v>
      </c>
      <c r="L240" s="16">
        <f t="shared" si="9"/>
        <v>-0.53458196737383401</v>
      </c>
      <c r="M240" s="16">
        <f t="shared" si="10"/>
        <v>-0.85550998099104258</v>
      </c>
    </row>
    <row r="241" spans="1:13">
      <c r="A241" s="20"/>
      <c r="B241" s="21"/>
      <c r="C241" s="22"/>
      <c r="D241" s="23"/>
      <c r="E241" s="22"/>
      <c r="F241" s="21"/>
      <c r="G241" s="21"/>
      <c r="H241" s="23"/>
      <c r="I241" s="21"/>
      <c r="J241" s="21"/>
      <c r="K241" s="15">
        <f t="shared" si="11"/>
        <v>239</v>
      </c>
      <c r="L241" s="16">
        <f t="shared" si="9"/>
        <v>-0.51943723814430298</v>
      </c>
      <c r="M241" s="16">
        <f t="shared" si="10"/>
        <v>-0.86448873781238256</v>
      </c>
    </row>
    <row r="242" spans="1:13">
      <c r="A242" s="20"/>
      <c r="B242" s="21"/>
      <c r="C242" s="22"/>
      <c r="D242" s="23"/>
      <c r="E242" s="22"/>
      <c r="F242" s="21"/>
      <c r="G242" s="21"/>
      <c r="H242" s="23"/>
      <c r="I242" s="21"/>
      <c r="J242" s="21"/>
      <c r="K242" s="15">
        <f t="shared" si="11"/>
        <v>240</v>
      </c>
      <c r="L242" s="16">
        <f t="shared" si="9"/>
        <v>-0.50414069591528032</v>
      </c>
      <c r="M242" s="16">
        <f t="shared" si="10"/>
        <v>-0.87319729948839608</v>
      </c>
    </row>
    <row r="243" spans="1:13">
      <c r="A243" s="20"/>
      <c r="B243" s="21"/>
      <c r="C243" s="22"/>
      <c r="D243" s="23"/>
      <c r="E243" s="22"/>
      <c r="F243" s="21"/>
      <c r="G243" s="21"/>
      <c r="H243" s="23"/>
      <c r="I243" s="21"/>
      <c r="J243" s="21"/>
      <c r="K243" s="15">
        <f t="shared" si="11"/>
        <v>241</v>
      </c>
      <c r="L243" s="16">
        <f t="shared" si="9"/>
        <v>-0.48869723734094755</v>
      </c>
      <c r="M243" s="16">
        <f t="shared" si="10"/>
        <v>-0.88163315403228326</v>
      </c>
    </row>
    <row r="244" spans="1:13">
      <c r="A244" s="20"/>
      <c r="B244" s="21"/>
      <c r="C244" s="22"/>
      <c r="D244" s="23"/>
      <c r="E244" s="22"/>
      <c r="F244" s="21"/>
      <c r="G244" s="21"/>
      <c r="H244" s="23"/>
      <c r="I244" s="21"/>
      <c r="J244" s="21"/>
      <c r="K244" s="15">
        <f t="shared" si="11"/>
        <v>242</v>
      </c>
      <c r="L244" s="16">
        <f t="shared" si="9"/>
        <v>-0.47311179860714281</v>
      </c>
      <c r="M244" s="16">
        <f t="shared" si="10"/>
        <v>-0.88979388070805743</v>
      </c>
    </row>
    <row r="245" spans="1:13">
      <c r="A245" s="20"/>
      <c r="B245" s="21"/>
      <c r="C245" s="22"/>
      <c r="D245" s="23"/>
      <c r="E245" s="22"/>
      <c r="F245" s="21"/>
      <c r="G245" s="21"/>
      <c r="H245" s="23"/>
      <c r="I245" s="21"/>
      <c r="J245" s="21"/>
      <c r="K245" s="15">
        <f t="shared" si="11"/>
        <v>243</v>
      </c>
      <c r="L245" s="16">
        <f t="shared" si="9"/>
        <v>-0.4573893536461574</v>
      </c>
      <c r="M245" s="16">
        <f t="shared" si="10"/>
        <v>-0.8976771505721588</v>
      </c>
    </row>
    <row r="246" spans="1:13">
      <c r="A246" s="20"/>
      <c r="B246" s="21"/>
      <c r="C246" s="22"/>
      <c r="D246" s="23"/>
      <c r="E246" s="22"/>
      <c r="F246" s="21"/>
      <c r="G246" s="21"/>
      <c r="H246" s="23"/>
      <c r="I246" s="21"/>
      <c r="J246" s="21"/>
      <c r="K246" s="15">
        <f t="shared" si="11"/>
        <v>244</v>
      </c>
      <c r="L246" s="16">
        <f t="shared" si="9"/>
        <v>-0.44153491234749986</v>
      </c>
      <c r="M246" s="16">
        <f t="shared" si="10"/>
        <v>-0.90528072697745599</v>
      </c>
    </row>
    <row r="247" spans="1:13">
      <c r="A247" s="20"/>
      <c r="B247" s="21"/>
      <c r="C247" s="22"/>
      <c r="D247" s="23"/>
      <c r="E247" s="22"/>
      <c r="F247" s="21"/>
      <c r="G247" s="21"/>
      <c r="H247" s="23"/>
      <c r="I247" s="21"/>
      <c r="J247" s="21"/>
      <c r="K247" s="15">
        <f t="shared" si="11"/>
        <v>245</v>
      </c>
      <c r="L247" s="16">
        <f t="shared" si="9"/>
        <v>-0.42555351876548736</v>
      </c>
      <c r="M247" s="16">
        <f t="shared" si="10"/>
        <v>-0.91260246603978268</v>
      </c>
    </row>
    <row r="248" spans="1:13">
      <c r="A248" s="20"/>
      <c r="B248" s="21"/>
      <c r="C248" s="22"/>
      <c r="D248" s="23"/>
      <c r="E248" s="22"/>
      <c r="F248" s="21"/>
      <c r="G248" s="21"/>
      <c r="H248" s="23"/>
      <c r="I248" s="21"/>
      <c r="J248" s="21"/>
      <c r="K248" s="15">
        <f t="shared" si="11"/>
        <v>246</v>
      </c>
      <c r="L248" s="16">
        <f t="shared" si="9"/>
        <v>-0.40945024932453694</v>
      </c>
      <c r="M248" s="16">
        <f t="shared" si="10"/>
        <v>-0.91964031706716021</v>
      </c>
    </row>
    <row r="249" spans="1:13">
      <c r="A249" s="20"/>
      <c r="B249" s="21"/>
      <c r="C249" s="22"/>
      <c r="D249" s="23"/>
      <c r="E249" s="22"/>
      <c r="F249" s="21"/>
      <c r="G249" s="21"/>
      <c r="H249" s="23"/>
      <c r="I249" s="21"/>
      <c r="J249" s="21"/>
      <c r="K249" s="15">
        <f t="shared" si="11"/>
        <v>247</v>
      </c>
      <c r="L249" s="16">
        <f t="shared" si="9"/>
        <v>-0.39323021102299499</v>
      </c>
      <c r="M249" s="16">
        <f t="shared" si="10"/>
        <v>-0.92639232295189611</v>
      </c>
    </row>
    <row r="250" spans="1:13">
      <c r="A250" s="20"/>
      <c r="B250" s="21"/>
      <c r="C250" s="22"/>
      <c r="D250" s="23"/>
      <c r="E250" s="22"/>
      <c r="F250" s="21"/>
      <c r="G250" s="21"/>
      <c r="H250" s="23"/>
      <c r="I250" s="21"/>
      <c r="J250" s="21"/>
      <c r="K250" s="15">
        <f t="shared" si="11"/>
        <v>248</v>
      </c>
      <c r="L250" s="16">
        <f t="shared" si="9"/>
        <v>-0.37689853963635739</v>
      </c>
      <c r="M250" s="16">
        <f t="shared" si="10"/>
        <v>-0.93285662052574814</v>
      </c>
    </row>
    <row r="251" spans="1:13">
      <c r="A251" s="20"/>
      <c r="B251" s="21"/>
      <c r="C251" s="22"/>
      <c r="D251" s="23"/>
      <c r="E251" s="22"/>
      <c r="F251" s="21"/>
      <c r="G251" s="21"/>
      <c r="H251" s="23"/>
      <c r="I251" s="21"/>
      <c r="J251" s="21"/>
      <c r="K251" s="15">
        <f t="shared" si="11"/>
        <v>249</v>
      </c>
      <c r="L251" s="16">
        <f t="shared" si="9"/>
        <v>-0.36046039792069923</v>
      </c>
      <c r="M251" s="16">
        <f t="shared" si="10"/>
        <v>-0.93903144087838863</v>
      </c>
    </row>
    <row r="252" spans="1:13">
      <c r="A252" s="20"/>
      <c r="B252" s="21"/>
      <c r="C252" s="22"/>
      <c r="D252" s="23"/>
      <c r="E252" s="22"/>
      <c r="F252" s="21"/>
      <c r="G252" s="21"/>
      <c r="H252" s="23"/>
      <c r="I252" s="21"/>
      <c r="J252" s="21"/>
      <c r="K252" s="15">
        <f t="shared" si="11"/>
        <v>250</v>
      </c>
      <c r="L252" s="16">
        <f t="shared" si="9"/>
        <v>-0.34392097381712727</v>
      </c>
      <c r="M252" s="16">
        <f t="shared" si="10"/>
        <v>-0.94491510963940206</v>
      </c>
    </row>
    <row r="253" spans="1:13">
      <c r="A253" s="20"/>
      <c r="B253" s="21"/>
      <c r="C253" s="22"/>
      <c r="D253" s="23"/>
      <c r="E253" s="22"/>
      <c r="F253" s="21"/>
      <c r="G253" s="21"/>
      <c r="H253" s="23"/>
      <c r="I253" s="21"/>
      <c r="J253" s="21"/>
      <c r="K253" s="15">
        <f t="shared" si="11"/>
        <v>251</v>
      </c>
      <c r="L253" s="16">
        <f t="shared" si="9"/>
        <v>-0.32728547865806318</v>
      </c>
      <c r="M253" s="16">
        <f t="shared" si="10"/>
        <v>-0.9505060472240856</v>
      </c>
    </row>
    <row r="254" spans="1:13">
      <c r="A254" s="20"/>
      <c r="B254" s="21"/>
      <c r="C254" s="22"/>
      <c r="D254" s="23"/>
      <c r="E254" s="22"/>
      <c r="F254" s="21"/>
      <c r="G254" s="21"/>
      <c r="H254" s="23"/>
      <c r="I254" s="21"/>
      <c r="J254" s="21"/>
      <c r="K254" s="15">
        <f t="shared" si="11"/>
        <v>252</v>
      </c>
      <c r="L254" s="16">
        <f t="shared" si="9"/>
        <v>-0.31055914537612955</v>
      </c>
      <c r="M254" s="16">
        <f t="shared" si="10"/>
        <v>-0.95580276904332973</v>
      </c>
    </row>
    <row r="255" spans="1:13">
      <c r="A255" s="20"/>
      <c r="B255" s="21"/>
      <c r="C255" s="22"/>
      <c r="D255" s="23"/>
      <c r="E255" s="22"/>
      <c r="F255" s="21"/>
      <c r="G255" s="21"/>
      <c r="H255" s="23"/>
      <c r="I255" s="21"/>
      <c r="J255" s="21"/>
      <c r="K255" s="15">
        <f t="shared" si="11"/>
        <v>253</v>
      </c>
      <c r="L255" s="16">
        <f t="shared" si="9"/>
        <v>-0.29374722671642745</v>
      </c>
      <c r="M255" s="16">
        <f t="shared" si="10"/>
        <v>-0.96080388567787989</v>
      </c>
    </row>
    <row r="256" spans="1:13">
      <c r="A256" s="20"/>
      <c r="B256" s="21"/>
      <c r="C256" s="22"/>
      <c r="D256" s="23"/>
      <c r="E256" s="22"/>
      <c r="F256" s="21"/>
      <c r="G256" s="21"/>
      <c r="H256" s="23"/>
      <c r="I256" s="21"/>
      <c r="J256" s="21"/>
      <c r="K256" s="15">
        <f t="shared" si="11"/>
        <v>254</v>
      </c>
      <c r="L256" s="16">
        <f t="shared" si="9"/>
        <v>-0.2768549934529495</v>
      </c>
      <c r="M256" s="16">
        <f t="shared" si="10"/>
        <v>-0.96550810301729761</v>
      </c>
    </row>
    <row r="257" spans="1:13">
      <c r="A257" s="20"/>
      <c r="B257" s="21"/>
      <c r="C257" s="22"/>
      <c r="D257" s="23"/>
      <c r="E257" s="22"/>
      <c r="F257" s="21"/>
      <c r="G257" s="21"/>
      <c r="H257" s="23"/>
      <c r="I257" s="21"/>
      <c r="J257" s="21"/>
      <c r="K257" s="15">
        <f t="shared" si="11"/>
        <v>255</v>
      </c>
      <c r="L257" s="16">
        <f t="shared" si="9"/>
        <v>-0.25988773260988113</v>
      </c>
      <c r="M257" s="16">
        <f t="shared" si="10"/>
        <v>-0.96991422236395175</v>
      </c>
    </row>
    <row r="258" spans="1:13">
      <c r="A258" s="20"/>
      <c r="B258" s="21"/>
      <c r="C258" s="22"/>
      <c r="D258" s="23"/>
      <c r="E258" s="22"/>
      <c r="F258" s="21"/>
      <c r="G258" s="21"/>
      <c r="H258" s="23"/>
      <c r="I258" s="21"/>
      <c r="J258" s="21"/>
      <c r="K258" s="15">
        <f t="shared" si="11"/>
        <v>256</v>
      </c>
      <c r="L258" s="16">
        <f t="shared" si="9"/>
        <v>-0.24285074568850035</v>
      </c>
      <c r="M258" s="16">
        <f t="shared" si="10"/>
        <v>-0.97402114050239919</v>
      </c>
    </row>
    <row r="259" spans="1:13">
      <c r="A259" s="20"/>
      <c r="B259" s="21"/>
      <c r="C259" s="22"/>
      <c r="D259" s="23"/>
      <c r="E259" s="22"/>
      <c r="F259" s="21"/>
      <c r="G259" s="21"/>
      <c r="H259" s="23"/>
      <c r="I259" s="21"/>
      <c r="J259" s="21"/>
      <c r="K259" s="15">
        <f t="shared" si="11"/>
        <v>257</v>
      </c>
      <c r="L259" s="16">
        <f t="shared" ref="L259:L322" si="12">IF($D$2="","", ($D$2*(1-$E$2^2)/(1+$E$2*COS(RADIANS(K259)))) * COS(RADIANS(K259)) )</f>
        <v>-0.22574934690040549</v>
      </c>
      <c r="M259" s="16">
        <f t="shared" ref="M259:M322" si="13">IF($D$2="","", ($D$2*(1-$E$2^2)/(1+$E$2*COS(RADIANS(K259)))) * SIN(RADIANS(K259)) )</f>
        <v>-0.97782784973450987</v>
      </c>
    </row>
    <row r="260" spans="1:13">
      <c r="A260" s="20"/>
      <c r="B260" s="21"/>
      <c r="C260" s="22"/>
      <c r="D260" s="23"/>
      <c r="E260" s="22"/>
      <c r="F260" s="21"/>
      <c r="G260" s="21"/>
      <c r="H260" s="23"/>
      <c r="I260" s="21"/>
      <c r="J260" s="21"/>
      <c r="K260" s="15">
        <f t="shared" ref="K260:K323" si="14">K259+1</f>
        <v>258</v>
      </c>
      <c r="L260" s="16">
        <f t="shared" si="12"/>
        <v>-0.2085888614077511</v>
      </c>
      <c r="M260" s="16">
        <f t="shared" si="13"/>
        <v>-0.98133343788073191</v>
      </c>
    </row>
    <row r="261" spans="1:13">
      <c r="A261" s="20"/>
      <c r="B261" s="21"/>
      <c r="C261" s="22"/>
      <c r="D261" s="23"/>
      <c r="E261" s="22"/>
      <c r="F261" s="21"/>
      <c r="G261" s="21"/>
      <c r="H261" s="23"/>
      <c r="I261" s="21"/>
      <c r="J261" s="21"/>
      <c r="K261" s="15">
        <f t="shared" si="14"/>
        <v>259</v>
      </c>
      <c r="L261" s="16">
        <f t="shared" si="12"/>
        <v>-0.19137462357117185</v>
      </c>
      <c r="M261" s="16">
        <f t="shared" si="13"/>
        <v>-0.98453708824787955</v>
      </c>
    </row>
    <row r="262" spans="1:13">
      <c r="A262" s="20"/>
      <c r="B262" s="21"/>
      <c r="C262" s="22"/>
      <c r="D262" s="23"/>
      <c r="E262" s="22"/>
      <c r="F262" s="21"/>
      <c r="G262" s="21"/>
      <c r="H262" s="23"/>
      <c r="I262" s="21"/>
      <c r="J262" s="21"/>
      <c r="K262" s="15">
        <f t="shared" si="14"/>
        <v>260</v>
      </c>
      <c r="L262" s="16">
        <f t="shared" si="12"/>
        <v>-0.17411197520606148</v>
      </c>
      <c r="M262" s="16">
        <f t="shared" si="13"/>
        <v>-0.98743807956386587</v>
      </c>
    </row>
    <row r="263" spans="1:13">
      <c r="A263" s="20"/>
      <c r="B263" s="21"/>
      <c r="C263" s="22"/>
      <c r="D263" s="23"/>
      <c r="E263" s="22"/>
      <c r="F263" s="21"/>
      <c r="G263" s="21"/>
      <c r="H263" s="23"/>
      <c r="I263" s="21"/>
      <c r="J263" s="21"/>
      <c r="K263" s="15">
        <f t="shared" si="14"/>
        <v>261</v>
      </c>
      <c r="L263" s="16">
        <f t="shared" si="12"/>
        <v>-0.1568062638478343</v>
      </c>
      <c r="M263" s="16">
        <f t="shared" si="13"/>
        <v>-0.99003578587979713</v>
      </c>
    </row>
    <row r="264" spans="1:13">
      <c r="A264" s="20"/>
      <c r="B264" s="21"/>
      <c r="C264" s="22"/>
      <c r="D264" s="23"/>
      <c r="E264" s="22"/>
      <c r="F264" s="21"/>
      <c r="G264" s="21"/>
      <c r="H264" s="23"/>
      <c r="I264" s="21"/>
      <c r="J264" s="21"/>
      <c r="K264" s="15">
        <f t="shared" si="14"/>
        <v>262</v>
      </c>
      <c r="L264" s="16">
        <f t="shared" si="12"/>
        <v>-0.13946284102681319</v>
      </c>
      <c r="M264" s="16">
        <f t="shared" si="13"/>
        <v>-0.99232967643986603</v>
      </c>
    </row>
    <row r="265" spans="1:13">
      <c r="A265" s="20"/>
      <c r="B265" s="21"/>
      <c r="C265" s="22"/>
      <c r="D265" s="23"/>
      <c r="E265" s="22"/>
      <c r="F265" s="21"/>
      <c r="G265" s="21"/>
      <c r="H265" s="23"/>
      <c r="I265" s="21"/>
      <c r="J265" s="21"/>
      <c r="K265" s="15">
        <f t="shared" si="14"/>
        <v>263</v>
      </c>
      <c r="L265" s="16">
        <f t="shared" si="12"/>
        <v>-0.12208706055333737</v>
      </c>
      <c r="M265" s="16">
        <f t="shared" si="13"/>
        <v>-0.99431931551949382</v>
      </c>
    </row>
    <row r="266" spans="1:13">
      <c r="A266" s="20"/>
      <c r="B266" s="21"/>
      <c r="C266" s="22"/>
      <c r="D266" s="23"/>
      <c r="E266" s="22"/>
      <c r="F266" s="21"/>
      <c r="G266" s="21"/>
      <c r="H266" s="23"/>
      <c r="I266" s="21"/>
      <c r="J266" s="21"/>
      <c r="K266" s="15">
        <f t="shared" si="14"/>
        <v>264</v>
      </c>
      <c r="L266" s="16">
        <f t="shared" si="12"/>
        <v>-0.10468427681369057</v>
      </c>
      <c r="M266" s="16">
        <f t="shared" si="13"/>
        <v>-0.99600436223217625</v>
      </c>
    </row>
    <row r="267" spans="1:13">
      <c r="A267" s="20"/>
      <c r="B267" s="21"/>
      <c r="C267" s="22"/>
      <c r="D267" s="23"/>
      <c r="E267" s="22"/>
      <c r="F267" s="21"/>
      <c r="G267" s="21"/>
      <c r="H267" s="23"/>
      <c r="I267" s="21"/>
      <c r="J267" s="21"/>
      <c r="K267" s="15">
        <f t="shared" si="14"/>
        <v>265</v>
      </c>
      <c r="L267" s="16">
        <f t="shared" si="12"/>
        <v>-8.7259843077406918E-2</v>
      </c>
      <c r="M267" s="16">
        <f t="shared" si="13"/>
        <v>-0.99738457030550753</v>
      </c>
    </row>
    <row r="268" spans="1:13">
      <c r="A268" s="20"/>
      <c r="B268" s="21"/>
      <c r="C268" s="22"/>
      <c r="D268" s="23"/>
      <c r="E268" s="22"/>
      <c r="F268" s="21"/>
      <c r="G268" s="21"/>
      <c r="H268" s="23"/>
      <c r="I268" s="21"/>
      <c r="J268" s="21"/>
      <c r="K268" s="15">
        <f t="shared" si="14"/>
        <v>266</v>
      </c>
      <c r="L268" s="16">
        <f t="shared" si="12"/>
        <v>-6.9819109816526365E-2</v>
      </c>
      <c r="M268" s="16">
        <f t="shared" si="13"/>
        <v>-0.99845978782685907</v>
      </c>
    </row>
    <row r="269" spans="1:13">
      <c r="A269" s="20"/>
      <c r="B269" s="21"/>
      <c r="C269" s="22"/>
      <c r="D269" s="23"/>
      <c r="E269" s="22"/>
      <c r="F269" s="21"/>
      <c r="G269" s="21"/>
      <c r="H269" s="23"/>
      <c r="I269" s="21"/>
      <c r="J269" s="21"/>
      <c r="K269" s="15">
        <f t="shared" si="14"/>
        <v>267</v>
      </c>
      <c r="L269" s="16">
        <f t="shared" si="12"/>
        <v>-5.2367423037320927E-2</v>
      </c>
      <c r="M269" s="16">
        <f t="shared" si="13"/>
        <v>-0.9992299569591987</v>
      </c>
    </row>
    <row r="270" spans="1:13">
      <c r="A270" s="20"/>
      <c r="B270" s="21"/>
      <c r="C270" s="22"/>
      <c r="D270" s="23"/>
      <c r="E270" s="22"/>
      <c r="F270" s="21"/>
      <c r="G270" s="21"/>
      <c r="H270" s="23"/>
      <c r="I270" s="21"/>
      <c r="J270" s="21"/>
      <c r="K270" s="15">
        <f t="shared" si="14"/>
        <v>268</v>
      </c>
      <c r="L270" s="16">
        <f t="shared" si="12"/>
        <v>-3.4910122625014146E-2</v>
      </c>
      <c r="M270" s="16">
        <f t="shared" si="13"/>
        <v>-0.99969511362755359</v>
      </c>
    </row>
    <row r="271" spans="1:13">
      <c r="A271" s="20"/>
      <c r="B271" s="21"/>
      <c r="C271" s="22"/>
      <c r="D271" s="23"/>
      <c r="E271" s="22"/>
      <c r="F271" s="21"/>
      <c r="G271" s="21"/>
      <c r="H271" s="23"/>
      <c r="I271" s="21"/>
      <c r="J271" s="21"/>
      <c r="K271" s="15">
        <f t="shared" si="14"/>
        <v>269</v>
      </c>
      <c r="L271" s="16">
        <f t="shared" si="12"/>
        <v>-1.7452540701995929E-2</v>
      </c>
      <c r="M271" s="16">
        <f t="shared" si="13"/>
        <v>-0.99985538717661482</v>
      </c>
    </row>
    <row r="272" spans="1:13">
      <c r="A272" s="20"/>
      <c r="B272" s="21"/>
      <c r="C272" s="22"/>
      <c r="D272" s="23"/>
      <c r="E272" s="22"/>
      <c r="F272" s="21"/>
      <c r="G272" s="21"/>
      <c r="H272" s="23"/>
      <c r="I272" s="21"/>
      <c r="J272" s="21"/>
      <c r="K272" s="15">
        <f t="shared" si="14"/>
        <v>270</v>
      </c>
      <c r="L272" s="16">
        <f t="shared" si="12"/>
        <v>-1.8371915805077271E-16</v>
      </c>
      <c r="M272" s="16">
        <f t="shared" si="13"/>
        <v>-0.99971100000000002</v>
      </c>
    </row>
    <row r="273" spans="1:13">
      <c r="A273" s="20"/>
      <c r="B273" s="21"/>
      <c r="C273" s="22"/>
      <c r="D273" s="23"/>
      <c r="E273" s="22"/>
      <c r="F273" s="21"/>
      <c r="G273" s="21"/>
      <c r="H273" s="23"/>
      <c r="I273" s="21"/>
      <c r="J273" s="21"/>
      <c r="K273" s="15">
        <f t="shared" si="14"/>
        <v>271</v>
      </c>
      <c r="L273" s="16">
        <f t="shared" si="12"/>
        <v>1.7442187753275724E-2</v>
      </c>
      <c r="M273" s="16">
        <f t="shared" si="13"/>
        <v>-0.99926226714169009</v>
      </c>
    </row>
    <row r="274" spans="1:13">
      <c r="A274" s="20"/>
      <c r="B274" s="21"/>
      <c r="C274" s="22"/>
      <c r="D274" s="23"/>
      <c r="E274" s="22"/>
      <c r="F274" s="21"/>
      <c r="G274" s="21"/>
      <c r="H274" s="23"/>
      <c r="I274" s="21"/>
      <c r="J274" s="21"/>
      <c r="K274" s="15">
        <f t="shared" si="14"/>
        <v>272</v>
      </c>
      <c r="L274" s="16">
        <f t="shared" si="12"/>
        <v>3.4868723432680451E-2</v>
      </c>
      <c r="M274" s="16">
        <f t="shared" si="13"/>
        <v>-0.99850959587016297</v>
      </c>
    </row>
    <row r="275" spans="1:13">
      <c r="A275" s="20"/>
      <c r="B275" s="21"/>
      <c r="C275" s="22"/>
      <c r="D275" s="23"/>
      <c r="E275" s="22"/>
      <c r="F275" s="21"/>
      <c r="G275" s="21"/>
      <c r="H275" s="23"/>
      <c r="I275" s="21"/>
      <c r="J275" s="21"/>
      <c r="K275" s="15">
        <f t="shared" si="14"/>
        <v>273</v>
      </c>
      <c r="L275" s="16">
        <f t="shared" si="12"/>
        <v>5.2274322098811853E-2</v>
      </c>
      <c r="M275" s="16">
        <f t="shared" si="13"/>
        <v>-0.99745348522575827</v>
      </c>
    </row>
    <row r="276" spans="1:13">
      <c r="A276" s="20"/>
      <c r="B276" s="21"/>
      <c r="C276" s="22"/>
      <c r="D276" s="23"/>
      <c r="E276" s="22"/>
      <c r="F276" s="21"/>
      <c r="G276" s="21"/>
      <c r="H276" s="23"/>
      <c r="I276" s="21"/>
      <c r="J276" s="21"/>
      <c r="K276" s="15">
        <f t="shared" si="14"/>
        <v>274</v>
      </c>
      <c r="L276" s="16">
        <f t="shared" si="12"/>
        <v>6.9653714565521579E-2</v>
      </c>
      <c r="M276" s="16">
        <f t="shared" si="13"/>
        <v>-0.99609452554179967</v>
      </c>
    </row>
    <row r="277" spans="1:13">
      <c r="A277" s="20"/>
      <c r="B277" s="21"/>
      <c r="C277" s="22"/>
      <c r="D277" s="23"/>
      <c r="E277" s="22"/>
      <c r="F277" s="21"/>
      <c r="G277" s="21"/>
      <c r="H277" s="23"/>
      <c r="I277" s="21"/>
      <c r="J277" s="21"/>
      <c r="K277" s="15">
        <f t="shared" si="14"/>
        <v>275</v>
      </c>
      <c r="L277" s="16">
        <f t="shared" si="12"/>
        <v>8.7001648951315236E-2</v>
      </c>
      <c r="M277" s="16">
        <f t="shared" si="13"/>
        <v>-0.99443339794001795</v>
      </c>
    </row>
    <row r="278" spans="1:13">
      <c r="A278" s="20"/>
      <c r="B278" s="21"/>
      <c r="C278" s="22"/>
      <c r="D278" s="23"/>
      <c r="E278" s="22"/>
      <c r="F278" s="21"/>
      <c r="G278" s="21"/>
      <c r="H278" s="23"/>
      <c r="I278" s="21"/>
      <c r="J278" s="21"/>
      <c r="K278" s="15">
        <f t="shared" si="14"/>
        <v>276</v>
      </c>
      <c r="L278" s="16">
        <f t="shared" si="12"/>
        <v>0.10431289221429184</v>
      </c>
      <c r="M278" s="16">
        <f t="shared" si="13"/>
        <v>-0.99247087380081478</v>
      </c>
    </row>
    <row r="279" spans="1:13">
      <c r="A279" s="20"/>
      <c r="B279" s="21"/>
      <c r="C279" s="22"/>
      <c r="D279" s="23"/>
      <c r="E279" s="22"/>
      <c r="F279" s="21"/>
      <c r="G279" s="21"/>
      <c r="H279" s="23"/>
      <c r="I279" s="21"/>
      <c r="J279" s="21"/>
      <c r="K279" s="15">
        <f t="shared" si="14"/>
        <v>277</v>
      </c>
      <c r="L279" s="16">
        <f t="shared" si="12"/>
        <v>0.12158223167026602</v>
      </c>
      <c r="M279" s="16">
        <f t="shared" si="13"/>
        <v>-0.99020781420890891</v>
      </c>
    </row>
    <row r="280" spans="1:13">
      <c r="A280" s="20"/>
      <c r="B280" s="21"/>
      <c r="C280" s="22"/>
      <c r="D280" s="23"/>
      <c r="E280" s="22"/>
      <c r="F280" s="21"/>
      <c r="G280" s="21"/>
      <c r="H280" s="23"/>
      <c r="I280" s="21"/>
      <c r="J280" s="21"/>
      <c r="K280" s="15">
        <f t="shared" si="14"/>
        <v>278</v>
      </c>
      <c r="L280" s="16">
        <f t="shared" si="12"/>
        <v>0.1388044764937349</v>
      </c>
      <c r="M280" s="16">
        <f t="shared" si="13"/>
        <v>-0.98764516937491165</v>
      </c>
    </row>
    <row r="281" spans="1:13">
      <c r="A281" s="20"/>
      <c r="B281" s="21"/>
      <c r="C281" s="22"/>
      <c r="D281" s="23"/>
      <c r="E281" s="22"/>
      <c r="F281" s="21"/>
      <c r="G281" s="21"/>
      <c r="H281" s="23"/>
      <c r="I281" s="21"/>
      <c r="J281" s="21"/>
      <c r="K281" s="15">
        <f t="shared" si="14"/>
        <v>279</v>
      </c>
      <c r="L281" s="16">
        <f t="shared" si="12"/>
        <v>0.15597445920138722</v>
      </c>
      <c r="M281" s="16">
        <f t="shared" si="13"/>
        <v>-0.98478397803338058</v>
      </c>
    </row>
    <row r="282" spans="1:13">
      <c r="A282" s="20"/>
      <c r="B282" s="21"/>
      <c r="C282" s="22"/>
      <c r="D282" s="23"/>
      <c r="E282" s="22"/>
      <c r="F282" s="21"/>
      <c r="G282" s="21"/>
      <c r="H282" s="23"/>
      <c r="I282" s="21"/>
      <c r="J282" s="21"/>
      <c r="K282" s="15">
        <f t="shared" si="14"/>
        <v>280</v>
      </c>
      <c r="L282" s="16">
        <f t="shared" si="12"/>
        <v>0.17308703711783846</v>
      </c>
      <c r="M282" s="16">
        <f t="shared" si="13"/>
        <v>-0.98162536681789514</v>
      </c>
    </row>
    <row r="283" spans="1:13">
      <c r="A283" s="20"/>
      <c r="B283" s="21"/>
      <c r="C283" s="22"/>
      <c r="D283" s="23"/>
      <c r="E283" s="22"/>
      <c r="F283" s="21"/>
      <c r="G283" s="21"/>
      <c r="H283" s="23"/>
      <c r="I283" s="21"/>
      <c r="J283" s="21"/>
      <c r="K283" s="15">
        <f t="shared" si="14"/>
        <v>281</v>
      </c>
      <c r="L283" s="16">
        <f t="shared" si="12"/>
        <v>0.19013709382332511</v>
      </c>
      <c r="M283" s="16">
        <f t="shared" si="13"/>
        <v>-0.97817054961370931</v>
      </c>
    </row>
    <row r="284" spans="1:13">
      <c r="A284" s="20"/>
      <c r="B284" s="21"/>
      <c r="C284" s="22"/>
      <c r="D284" s="23"/>
      <c r="E284" s="22"/>
      <c r="F284" s="21"/>
      <c r="G284" s="21"/>
      <c r="H284" s="23"/>
      <c r="I284" s="21"/>
      <c r="J284" s="21"/>
      <c r="K284" s="15">
        <f t="shared" si="14"/>
        <v>282</v>
      </c>
      <c r="L284" s="16">
        <f t="shared" si="12"/>
        <v>0.20711954058308465</v>
      </c>
      <c r="M284" s="16">
        <f t="shared" si="13"/>
        <v>-0.97442082688852416</v>
      </c>
    </row>
    <row r="285" spans="1:13">
      <c r="A285" s="20"/>
      <c r="B285" s="21"/>
      <c r="C285" s="22"/>
      <c r="D285" s="23"/>
      <c r="E285" s="22"/>
      <c r="F285" s="21"/>
      <c r="G285" s="21"/>
      <c r="H285" s="23"/>
      <c r="I285" s="21"/>
      <c r="J285" s="21"/>
      <c r="K285" s="15">
        <f t="shared" si="14"/>
        <v>283</v>
      </c>
      <c r="L285" s="16">
        <f t="shared" si="12"/>
        <v>0.22402931775818763</v>
      </c>
      <c r="M285" s="16">
        <f t="shared" si="13"/>
        <v>-0.97037758500192905</v>
      </c>
    </row>
    <row r="286" spans="1:13">
      <c r="A286" s="20"/>
      <c r="B286" s="21"/>
      <c r="C286" s="22"/>
      <c r="D286" s="23"/>
      <c r="E286" s="22"/>
      <c r="F286" s="21"/>
      <c r="G286" s="21"/>
      <c r="H286" s="23"/>
      <c r="I286" s="21"/>
      <c r="J286" s="21"/>
      <c r="K286" s="15">
        <f t="shared" si="14"/>
        <v>284</v>
      </c>
      <c r="L286" s="16">
        <f t="shared" si="12"/>
        <v>0.24086139619757588</v>
      </c>
      <c r="M286" s="16">
        <f t="shared" si="13"/>
        <v>-0.96604229549406151</v>
      </c>
    </row>
    <row r="287" spans="1:13">
      <c r="A287" s="20"/>
      <c r="B287" s="21"/>
      <c r="C287" s="22"/>
      <c r="D287" s="23"/>
      <c r="E287" s="22"/>
      <c r="F287" s="21"/>
      <c r="G287" s="21"/>
      <c r="H287" s="23"/>
      <c r="I287" s="21"/>
      <c r="J287" s="21"/>
      <c r="K287" s="15">
        <f t="shared" si="14"/>
        <v>285</v>
      </c>
      <c r="L287" s="16">
        <f t="shared" si="12"/>
        <v>0.25761077861110554</v>
      </c>
      <c r="M287" s="16">
        <f t="shared" si="13"/>
        <v>-0.96141651435402553</v>
      </c>
    </row>
    <row r="288" spans="1:13">
      <c r="A288" s="20"/>
      <c r="B288" s="21"/>
      <c r="C288" s="22"/>
      <c r="D288" s="23"/>
      <c r="E288" s="22"/>
      <c r="F288" s="21"/>
      <c r="G288" s="21"/>
      <c r="H288" s="23"/>
      <c r="I288" s="21"/>
      <c r="J288" s="21"/>
      <c r="K288" s="15">
        <f t="shared" si="14"/>
        <v>286</v>
      </c>
      <c r="L288" s="16">
        <f t="shared" si="12"/>
        <v>0.274272500923395</v>
      </c>
      <c r="M288" s="16">
        <f t="shared" si="13"/>
        <v>-0.95650188126861591</v>
      </c>
    </row>
    <row r="289" spans="1:13">
      <c r="A289" s="20"/>
      <c r="B289" s="21"/>
      <c r="C289" s="22"/>
      <c r="D289" s="23"/>
      <c r="E289" s="22"/>
      <c r="F289" s="21"/>
      <c r="G289" s="21"/>
      <c r="H289" s="23"/>
      <c r="I289" s="21"/>
      <c r="J289" s="21"/>
      <c r="K289" s="15">
        <f t="shared" si="14"/>
        <v>287</v>
      </c>
      <c r="L289" s="16">
        <f t="shared" si="12"/>
        <v>0.29084163360829102</v>
      </c>
      <c r="M289" s="16">
        <f t="shared" si="13"/>
        <v>-0.95130011885188381</v>
      </c>
    </row>
    <row r="290" spans="1:13">
      <c r="A290" s="20"/>
      <c r="B290" s="21"/>
      <c r="C290" s="22"/>
      <c r="D290" s="23"/>
      <c r="E290" s="22"/>
      <c r="F290" s="21"/>
      <c r="G290" s="21"/>
      <c r="H290" s="23"/>
      <c r="I290" s="21"/>
      <c r="J290" s="21"/>
      <c r="K290" s="15">
        <f t="shared" si="14"/>
        <v>288</v>
      </c>
      <c r="L290" s="16">
        <f t="shared" si="12"/>
        <v>0.30731328300380223</v>
      </c>
      <c r="M290" s="16">
        <f t="shared" si="13"/>
        <v>-0.94581303185608234</v>
      </c>
    </row>
    <row r="291" spans="1:13">
      <c r="A291" s="20"/>
      <c r="B291" s="21"/>
      <c r="C291" s="22"/>
      <c r="D291" s="23"/>
      <c r="E291" s="22"/>
      <c r="F291" s="21"/>
      <c r="G291" s="21"/>
      <c r="H291" s="23"/>
      <c r="I291" s="21"/>
      <c r="J291" s="21"/>
      <c r="K291" s="15">
        <f t="shared" si="14"/>
        <v>289</v>
      </c>
      <c r="L291" s="16">
        <f t="shared" si="12"/>
        <v>0.3236825926073319</v>
      </c>
      <c r="M291" s="16">
        <f t="shared" si="13"/>
        <v>-0.94004250636452635</v>
      </c>
    </row>
    <row r="292" spans="1:13">
      <c r="A292" s="20"/>
      <c r="B292" s="21"/>
      <c r="C292" s="22"/>
      <c r="D292" s="23"/>
      <c r="E292" s="22"/>
      <c r="F292" s="21"/>
      <c r="G292" s="21"/>
      <c r="H292" s="23"/>
      <c r="I292" s="21"/>
      <c r="J292" s="21"/>
      <c r="K292" s="15">
        <f t="shared" si="14"/>
        <v>290</v>
      </c>
      <c r="L292" s="16">
        <f t="shared" si="12"/>
        <v>0.33994474435108979</v>
      </c>
      <c r="M292" s="16">
        <f t="shared" si="13"/>
        <v>-0.93399050896689273</v>
      </c>
    </row>
    <row r="293" spans="1:13">
      <c r="A293" s="20"/>
      <c r="B293" s="21"/>
      <c r="C293" s="22"/>
      <c r="D293" s="23"/>
      <c r="E293" s="22"/>
      <c r="F293" s="21"/>
      <c r="G293" s="21"/>
      <c r="H293" s="23"/>
      <c r="I293" s="21"/>
      <c r="J293" s="21"/>
      <c r="K293" s="15">
        <f t="shared" si="14"/>
        <v>291</v>
      </c>
      <c r="L293" s="16">
        <f t="shared" si="12"/>
        <v>0.35609495985755313</v>
      </c>
      <c r="M293" s="16">
        <f t="shared" si="13"/>
        <v>-0.92765908591748958</v>
      </c>
    </row>
    <row r="294" spans="1:13">
      <c r="A294" s="20"/>
      <c r="B294" s="21"/>
      <c r="C294" s="22"/>
      <c r="D294" s="23"/>
      <c r="E294" s="22"/>
      <c r="F294" s="21"/>
      <c r="G294" s="21"/>
      <c r="H294" s="23"/>
      <c r="I294" s="21"/>
      <c r="J294" s="21"/>
      <c r="K294" s="15">
        <f t="shared" si="14"/>
        <v>292</v>
      </c>
      <c r="L294" s="16">
        <f t="shared" si="12"/>
        <v>0.37212850167488309</v>
      </c>
      <c r="M294" s="16">
        <f t="shared" si="13"/>
        <v>-0.92105036227700732</v>
      </c>
    </row>
    <row r="295" spans="1:13">
      <c r="A295" s="20"/>
      <c r="B295" s="21"/>
      <c r="C295" s="22"/>
      <c r="D295" s="23"/>
      <c r="E295" s="22"/>
      <c r="F295" s="21"/>
      <c r="G295" s="21"/>
      <c r="H295" s="23"/>
      <c r="I295" s="21"/>
      <c r="J295" s="21"/>
      <c r="K295" s="15">
        <f t="shared" si="14"/>
        <v>293</v>
      </c>
      <c r="L295" s="16">
        <f t="shared" si="12"/>
        <v>0.38804067449219082</v>
      </c>
      <c r="M295" s="16">
        <f t="shared" si="13"/>
        <v>-0.91416654103827333</v>
      </c>
    </row>
    <row r="296" spans="1:13">
      <c r="A296" s="20"/>
      <c r="B296" s="21"/>
      <c r="C296" s="22"/>
      <c r="D296" s="23"/>
      <c r="E296" s="22"/>
      <c r="F296" s="21"/>
      <c r="G296" s="21"/>
      <c r="H296" s="23"/>
      <c r="I296" s="21"/>
      <c r="J296" s="21"/>
      <c r="K296" s="15">
        <f t="shared" si="14"/>
        <v>294</v>
      </c>
      <c r="L296" s="16">
        <f t="shared" si="12"/>
        <v>0.403826826334587</v>
      </c>
      <c r="M296" s="16">
        <f t="shared" si="13"/>
        <v>-0.90700990223651512</v>
      </c>
    </row>
    <row r="297" spans="1:13">
      <c r="A297" s="20"/>
      <c r="B297" s="21"/>
      <c r="C297" s="22"/>
      <c r="D297" s="23"/>
      <c r="E297" s="22"/>
      <c r="F297" s="21"/>
      <c r="G297" s="21"/>
      <c r="H297" s="23"/>
      <c r="I297" s="21"/>
      <c r="J297" s="21"/>
      <c r="K297" s="15">
        <f t="shared" si="14"/>
        <v>295</v>
      </c>
      <c r="L297" s="16">
        <f t="shared" si="12"/>
        <v>0.41948234973794496</v>
      </c>
      <c r="M297" s="16">
        <f t="shared" si="13"/>
        <v>-0.89958280204463359</v>
      </c>
    </row>
    <row r="298" spans="1:13">
      <c r="A298" s="20"/>
      <c r="B298" s="21"/>
      <c r="C298" s="22"/>
      <c r="D298" s="23"/>
      <c r="E298" s="22"/>
      <c r="F298" s="21"/>
      <c r="G298" s="21"/>
      <c r="H298" s="23"/>
      <c r="I298" s="21"/>
      <c r="J298" s="21"/>
      <c r="K298" s="15">
        <f t="shared" si="14"/>
        <v>296</v>
      </c>
      <c r="L298" s="16">
        <f t="shared" si="12"/>
        <v>0.43500268290332417</v>
      </c>
      <c r="M298" s="16">
        <f t="shared" si="13"/>
        <v>-0.89188767185398599</v>
      </c>
    </row>
    <row r="299" spans="1:13">
      <c r="A299" s="20"/>
      <c r="B299" s="21"/>
      <c r="C299" s="22"/>
      <c r="D299" s="23"/>
      <c r="E299" s="22"/>
      <c r="F299" s="21"/>
      <c r="G299" s="21"/>
      <c r="H299" s="23"/>
      <c r="I299" s="21"/>
      <c r="J299" s="21"/>
      <c r="K299" s="15">
        <f t="shared" si="14"/>
        <v>297</v>
      </c>
      <c r="L299" s="16">
        <f t="shared" si="12"/>
        <v>0.4503833108310269</v>
      </c>
      <c r="M299" s="16">
        <f t="shared" si="13"/>
        <v>-0.88392701734116541</v>
      </c>
    </row>
    <row r="300" spans="1:13">
      <c r="A300" s="20"/>
      <c r="B300" s="21"/>
      <c r="C300" s="22"/>
      <c r="D300" s="23"/>
      <c r="E300" s="22"/>
      <c r="F300" s="21"/>
      <c r="G300" s="21"/>
      <c r="H300" s="23"/>
      <c r="I300" s="21"/>
      <c r="J300" s="21"/>
      <c r="K300" s="15">
        <f t="shared" si="14"/>
        <v>298</v>
      </c>
      <c r="L300" s="16">
        <f t="shared" si="12"/>
        <v>0.46561976643424324</v>
      </c>
      <c r="M300" s="16">
        <f t="shared" si="13"/>
        <v>-0.8757034175212598</v>
      </c>
    </row>
    <row r="301" spans="1:13">
      <c r="A301" s="20"/>
      <c r="B301" s="21"/>
      <c r="C301" s="22"/>
      <c r="D301" s="23"/>
      <c r="E301" s="22"/>
      <c r="F301" s="21"/>
      <c r="G301" s="21"/>
      <c r="H301" s="23"/>
      <c r="I301" s="21"/>
      <c r="J301" s="21"/>
      <c r="K301" s="15">
        <f t="shared" si="14"/>
        <v>299</v>
      </c>
      <c r="L301" s="16">
        <f t="shared" si="12"/>
        <v>0.48070763163228625</v>
      </c>
      <c r="M301" s="16">
        <f t="shared" si="13"/>
        <v>-0.86721952378806788</v>
      </c>
    </row>
    <row r="302" spans="1:13">
      <c r="A302" s="20"/>
      <c r="B302" s="21"/>
      <c r="C302" s="22"/>
      <c r="D302" s="23"/>
      <c r="E302" s="22"/>
      <c r="F302" s="21"/>
      <c r="G302" s="21"/>
      <c r="H302" s="23"/>
      <c r="I302" s="21"/>
      <c r="J302" s="21"/>
      <c r="K302" s="15">
        <f t="shared" si="14"/>
        <v>300</v>
      </c>
      <c r="L302" s="16">
        <f t="shared" si="12"/>
        <v>0.49564253842340122</v>
      </c>
      <c r="M302" s="16">
        <f t="shared" si="13"/>
        <v>-0.85847805894174012</v>
      </c>
    </row>
    <row r="303" spans="1:13">
      <c r="A303" s="20"/>
      <c r="B303" s="21"/>
      <c r="C303" s="22"/>
      <c r="D303" s="23"/>
      <c r="E303" s="22"/>
      <c r="F303" s="21"/>
      <c r="G303" s="21"/>
      <c r="H303" s="23"/>
      <c r="I303" s="21"/>
      <c r="J303" s="21"/>
      <c r="K303" s="15">
        <f t="shared" si="14"/>
        <v>301</v>
      </c>
      <c r="L303" s="16">
        <f t="shared" si="12"/>
        <v>0.51042016993717021</v>
      </c>
      <c r="M303" s="16">
        <f t="shared" si="13"/>
        <v>-0.84948181620429719</v>
      </c>
    </row>
    <row r="304" spans="1:13">
      <c r="A304" s="20"/>
      <c r="B304" s="21"/>
      <c r="C304" s="22"/>
      <c r="D304" s="23"/>
      <c r="E304" s="22"/>
      <c r="F304" s="21"/>
      <c r="G304" s="21"/>
      <c r="H304" s="23"/>
      <c r="I304" s="21"/>
      <c r="J304" s="21"/>
      <c r="K304" s="15">
        <f t="shared" si="14"/>
        <v>302</v>
      </c>
      <c r="L304" s="16">
        <f t="shared" si="12"/>
        <v>0.52503626146651572</v>
      </c>
      <c r="M304" s="16">
        <f t="shared" si="13"/>
        <v>-0.84023365822349094</v>
      </c>
    </row>
    <row r="305" spans="1:13">
      <c r="A305" s="20"/>
      <c r="B305" s="21"/>
      <c r="C305" s="22"/>
      <c r="D305" s="23"/>
      <c r="E305" s="22"/>
      <c r="F305" s="21"/>
      <c r="G305" s="21"/>
      <c r="H305" s="23"/>
      <c r="I305" s="21"/>
      <c r="J305" s="21"/>
      <c r="K305" s="15">
        <f t="shared" si="14"/>
        <v>303</v>
      </c>
      <c r="L305" s="16">
        <f t="shared" si="12"/>
        <v>0.53948660147934213</v>
      </c>
      <c r="M305" s="16">
        <f t="shared" si="13"/>
        <v>-0.8307365160654403</v>
      </c>
    </row>
    <row r="306" spans="1:13">
      <c r="A306" s="20"/>
      <c r="B306" s="21"/>
      <c r="C306" s="22"/>
      <c r="D306" s="23"/>
      <c r="E306" s="22"/>
      <c r="F306" s="21"/>
      <c r="G306" s="21"/>
      <c r="H306" s="23"/>
      <c r="I306" s="21"/>
      <c r="J306" s="21"/>
      <c r="K306" s="15">
        <f t="shared" si="14"/>
        <v>304</v>
      </c>
      <c r="L306" s="16">
        <f t="shared" si="12"/>
        <v>0.55376703260984883</v>
      </c>
      <c r="M306" s="16">
        <f t="shared" si="13"/>
        <v>-0.82099338819648338</v>
      </c>
    </row>
    <row r="307" spans="1:13">
      <c r="A307" s="20"/>
      <c r="B307" s="21"/>
      <c r="C307" s="22"/>
      <c r="D307" s="23"/>
      <c r="E307" s="22"/>
      <c r="F307" s="21"/>
      <c r="G307" s="21"/>
      <c r="H307" s="23"/>
      <c r="I307" s="21"/>
      <c r="J307" s="21"/>
      <c r="K307" s="15">
        <f t="shared" si="14"/>
        <v>305</v>
      </c>
      <c r="L307" s="16">
        <f t="shared" si="12"/>
        <v>0.5678734526295609</v>
      </c>
      <c r="M307" s="16">
        <f t="shared" si="13"/>
        <v>-0.81100733945467007</v>
      </c>
    </row>
    <row r="308" spans="1:13">
      <c r="A308" s="20"/>
      <c r="B308" s="21"/>
      <c r="C308" s="22"/>
      <c r="D308" s="23"/>
      <c r="E308" s="22"/>
      <c r="F308" s="21"/>
      <c r="G308" s="21"/>
      <c r="H308" s="23"/>
      <c r="I308" s="21"/>
      <c r="J308" s="21"/>
      <c r="K308" s="15">
        <f t="shared" si="14"/>
        <v>306</v>
      </c>
      <c r="L308" s="16">
        <f t="shared" si="12"/>
        <v>0.58180181539814413</v>
      </c>
      <c r="M308" s="16">
        <f t="shared" si="13"/>
        <v>-0.80078150001131332</v>
      </c>
    </row>
    <row r="309" spans="1:13">
      <c r="A309" s="20"/>
      <c r="B309" s="21"/>
      <c r="C309" s="22"/>
      <c r="D309" s="23"/>
      <c r="E309" s="22"/>
      <c r="F309" s="21"/>
      <c r="G309" s="21"/>
      <c r="H309" s="23"/>
      <c r="I309" s="21"/>
      <c r="J309" s="21"/>
      <c r="K309" s="15">
        <f t="shared" si="14"/>
        <v>307</v>
      </c>
      <c r="L309" s="16">
        <f t="shared" si="12"/>
        <v>0.59554813179405253</v>
      </c>
      <c r="M309" s="16">
        <f t="shared" si="13"/>
        <v>-0.79031906432300747</v>
      </c>
    </row>
    <row r="310" spans="1:13">
      <c r="A310" s="20"/>
      <c r="B310" s="21"/>
      <c r="C310" s="22"/>
      <c r="D310" s="23"/>
      <c r="E310" s="22"/>
      <c r="F310" s="21"/>
      <c r="G310" s="21"/>
      <c r="H310" s="23"/>
      <c r="I310" s="21"/>
      <c r="J310" s="21"/>
      <c r="K310" s="15">
        <f t="shared" si="14"/>
        <v>308</v>
      </c>
      <c r="L310" s="16">
        <f t="shared" si="12"/>
        <v>0.60910847062509665</v>
      </c>
      <c r="M310" s="16">
        <f t="shared" si="13"/>
        <v>-0.7796232900745157</v>
      </c>
    </row>
    <row r="311" spans="1:13">
      <c r="A311" s="20"/>
      <c r="B311" s="21"/>
      <c r="C311" s="22"/>
      <c r="D311" s="23"/>
      <c r="E311" s="22"/>
      <c r="F311" s="21"/>
      <c r="G311" s="21"/>
      <c r="H311" s="23"/>
      <c r="I311" s="21"/>
      <c r="J311" s="21"/>
      <c r="K311" s="15">
        <f t="shared" si="14"/>
        <v>309</v>
      </c>
      <c r="L311" s="16">
        <f t="shared" si="12"/>
        <v>0.62247895951900256</v>
      </c>
      <c r="M311" s="16">
        <f t="shared" si="13"/>
        <v>-0.76869749711291346</v>
      </c>
    </row>
    <row r="312" spans="1:13">
      <c r="A312" s="20"/>
      <c r="B312" s="21"/>
      <c r="C312" s="22"/>
      <c r="D312" s="23"/>
      <c r="E312" s="22"/>
      <c r="F312" s="21"/>
      <c r="G312" s="21"/>
      <c r="H312" s="23"/>
      <c r="I312" s="21"/>
      <c r="J312" s="21"/>
      <c r="K312" s="15">
        <f t="shared" si="14"/>
        <v>310</v>
      </c>
      <c r="L312" s="16">
        <f t="shared" si="12"/>
        <v>0.63565578579406212</v>
      </c>
      <c r="M312" s="16">
        <f t="shared" si="13"/>
        <v>-0.75754506637336927</v>
      </c>
    </row>
    <row r="313" spans="1:13">
      <c r="A313" s="20"/>
      <c r="B313" s="21"/>
      <c r="C313" s="22"/>
      <c r="D313" s="23"/>
      <c r="E313" s="22"/>
      <c r="F313" s="21"/>
      <c r="G313" s="21"/>
      <c r="H313" s="23"/>
      <c r="I313" s="21"/>
      <c r="J313" s="21"/>
      <c r="K313" s="15">
        <f t="shared" si="14"/>
        <v>311</v>
      </c>
      <c r="L313" s="16">
        <f t="shared" si="12"/>
        <v>0.64863519730995278</v>
      </c>
      <c r="M313" s="16">
        <f t="shared" si="13"/>
        <v>-0.7461694387969362</v>
      </c>
    </row>
    <row r="314" spans="1:13">
      <c r="A314" s="20"/>
      <c r="B314" s="21"/>
      <c r="C314" s="22"/>
      <c r="D314" s="23"/>
      <c r="E314" s="22"/>
      <c r="F314" s="21"/>
      <c r="G314" s="21"/>
      <c r="H314" s="23"/>
      <c r="I314" s="21"/>
      <c r="J314" s="21"/>
      <c r="K314" s="15">
        <f t="shared" si="14"/>
        <v>312</v>
      </c>
      <c r="L314" s="16">
        <f t="shared" si="12"/>
        <v>0.66141350329884319</v>
      </c>
      <c r="M314" s="16">
        <f t="shared" si="13"/>
        <v>-0.73457411424071573</v>
      </c>
    </row>
    <row r="315" spans="1:13">
      <c r="A315" s="20"/>
      <c r="B315" s="21"/>
      <c r="C315" s="22"/>
      <c r="D315" s="23"/>
      <c r="E315" s="22"/>
      <c r="F315" s="21"/>
      <c r="G315" s="21"/>
      <c r="H315" s="23"/>
      <c r="I315" s="21"/>
      <c r="J315" s="21"/>
      <c r="K315" s="15">
        <f t="shared" si="14"/>
        <v>313</v>
      </c>
      <c r="L315" s="16">
        <f t="shared" si="12"/>
        <v>0.67398707517688328</v>
      </c>
      <c r="M315" s="16">
        <f t="shared" si="13"/>
        <v>-0.72276265038074283</v>
      </c>
    </row>
    <row r="316" spans="1:13">
      <c r="A316" s="20"/>
      <c r="B316" s="21"/>
      <c r="C316" s="22"/>
      <c r="D316" s="23"/>
      <c r="E316" s="22"/>
      <c r="F316" s="21"/>
      <c r="G316" s="21"/>
      <c r="H316" s="23"/>
      <c r="I316" s="21"/>
      <c r="J316" s="21"/>
      <c r="K316" s="15">
        <f t="shared" si="14"/>
        <v>314</v>
      </c>
      <c r="L316" s="16">
        <f t="shared" si="12"/>
        <v>0.6863523473361931</v>
      </c>
      <c r="M316" s="16">
        <f t="shared" si="13"/>
        <v>-0.71073866160794208</v>
      </c>
    </row>
    <row r="317" spans="1:13">
      <c r="A317" s="20"/>
      <c r="B317" s="21"/>
      <c r="C317" s="22"/>
      <c r="D317" s="23"/>
      <c r="E317" s="22"/>
      <c r="F317" s="21"/>
      <c r="G317" s="21"/>
      <c r="H317" s="23"/>
      <c r="I317" s="21"/>
      <c r="J317" s="21"/>
      <c r="K317" s="15">
        <f t="shared" si="14"/>
        <v>315</v>
      </c>
      <c r="L317" s="16">
        <f t="shared" si="12"/>
        <v>0.69850581791747346</v>
      </c>
      <c r="M317" s="16">
        <f t="shared" si="13"/>
        <v>-0.69850581791747379</v>
      </c>
    </row>
    <row r="318" spans="1:13">
      <c r="A318" s="20"/>
      <c r="B318" s="21"/>
      <c r="C318" s="22"/>
      <c r="D318" s="23"/>
      <c r="E318" s="22"/>
      <c r="F318" s="21"/>
      <c r="G318" s="21"/>
      <c r="H318" s="23"/>
      <c r="I318" s="21"/>
      <c r="J318" s="21"/>
      <c r="K318" s="15">
        <f t="shared" si="14"/>
        <v>316</v>
      </c>
      <c r="L318" s="16">
        <f t="shared" si="12"/>
        <v>0.71044404956335327</v>
      </c>
      <c r="M318" s="16">
        <f t="shared" si="13"/>
        <v>-0.6860678437918114</v>
      </c>
    </row>
    <row r="319" spans="1:13">
      <c r="A319" s="20"/>
      <c r="B319" s="21"/>
      <c r="C319" s="22"/>
      <c r="D319" s="23"/>
      <c r="E319" s="22"/>
      <c r="F319" s="21"/>
      <c r="G319" s="21"/>
      <c r="H319" s="23"/>
      <c r="I319" s="21"/>
      <c r="J319" s="21"/>
      <c r="K319" s="15">
        <f t="shared" si="14"/>
        <v>317</v>
      </c>
      <c r="L319" s="16">
        <f t="shared" si="12"/>
        <v>0.72216367015260596</v>
      </c>
      <c r="M319" s="16">
        <f t="shared" si="13"/>
        <v>-0.67342851707784679</v>
      </c>
    </row>
    <row r="320" spans="1:13">
      <c r="A320" s="20"/>
      <c r="B320" s="21"/>
      <c r="C320" s="22"/>
      <c r="D320" s="23"/>
      <c r="E320" s="22"/>
      <c r="F320" s="21"/>
      <c r="G320" s="21"/>
      <c r="H320" s="23"/>
      <c r="I320" s="21"/>
      <c r="J320" s="21"/>
      <c r="K320" s="15">
        <f t="shared" si="14"/>
        <v>318</v>
      </c>
      <c r="L320" s="16">
        <f t="shared" si="12"/>
        <v>0.73366137351536143</v>
      </c>
      <c r="M320" s="16">
        <f t="shared" si="13"/>
        <v>-0.66059166785833956</v>
      </c>
    </row>
    <row r="321" spans="1:13">
      <c r="A321" s="20"/>
      <c r="B321" s="21"/>
      <c r="C321" s="22"/>
      <c r="D321" s="23"/>
      <c r="E321" s="22"/>
      <c r="F321" s="21"/>
      <c r="G321" s="21"/>
      <c r="H321" s="23"/>
      <c r="I321" s="21"/>
      <c r="J321" s="21"/>
      <c r="K321" s="15">
        <f t="shared" si="14"/>
        <v>319</v>
      </c>
      <c r="L321" s="16">
        <f t="shared" si="12"/>
        <v>0.74493392012945925</v>
      </c>
      <c r="M321" s="16">
        <f t="shared" si="13"/>
        <v>-0.64756117731799134</v>
      </c>
    </row>
    <row r="322" spans="1:13">
      <c r="A322" s="20"/>
      <c r="B322" s="21"/>
      <c r="C322" s="22"/>
      <c r="D322" s="23"/>
      <c r="E322" s="22"/>
      <c r="F322" s="21"/>
      <c r="G322" s="21"/>
      <c r="H322" s="23"/>
      <c r="I322" s="21"/>
      <c r="J322" s="21"/>
      <c r="K322" s="15">
        <f t="shared" si="14"/>
        <v>320</v>
      </c>
      <c r="L322" s="16">
        <f t="shared" si="12"/>
        <v>0.75597813779806244</v>
      </c>
      <c r="M322" s="16">
        <f t="shared" si="13"/>
        <v>-0.63434097660444166</v>
      </c>
    </row>
    <row r="323" spans="1:13">
      <c r="A323" s="20"/>
      <c r="B323" s="21"/>
      <c r="C323" s="22"/>
      <c r="D323" s="23"/>
      <c r="E323" s="22"/>
      <c r="F323" s="21"/>
      <c r="G323" s="21"/>
      <c r="H323" s="23"/>
      <c r="I323" s="21"/>
      <c r="J323" s="21"/>
      <c r="K323" s="15">
        <f t="shared" si="14"/>
        <v>321</v>
      </c>
      <c r="L323" s="16">
        <f t="shared" ref="L323:L362" si="15">IF($D$2="","", ($D$2*(1-$E$2^2)/(1+$E$2*COS(RADIANS(K323)))) * COS(RADIANS(K323)) )</f>
        <v>0.76679092230869028</v>
      </c>
      <c r="M323" s="16">
        <f t="shared" ref="M323:M361" si="16">IF($D$2="","", ($D$2*(1-$E$2^2)/(1+$E$2*COS(RADIANS(K323)))) * SIN(RADIANS(K323)) )</f>
        <v>-0.62093504568445124</v>
      </c>
    </row>
    <row r="324" spans="1:13">
      <c r="A324" s="20"/>
      <c r="B324" s="21"/>
      <c r="C324" s="22"/>
      <c r="D324" s="23"/>
      <c r="E324" s="22"/>
      <c r="F324" s="21"/>
      <c r="G324" s="21"/>
      <c r="H324" s="23"/>
      <c r="I324" s="21"/>
      <c r="J324" s="21"/>
      <c r="K324" s="15">
        <f t="shared" ref="K324:K360" si="17">K323+1</f>
        <v>322</v>
      </c>
      <c r="L324" s="16">
        <f t="shared" si="15"/>
        <v>0.77736923807380098</v>
      </c>
      <c r="M324" s="16">
        <f t="shared" si="16"/>
        <v>-0.607347412195539</v>
      </c>
    </row>
    <row r="325" spans="1:13">
      <c r="A325" s="20"/>
      <c r="B325" s="21"/>
      <c r="C325" s="22"/>
      <c r="D325" s="23"/>
      <c r="E325" s="22"/>
      <c r="F325" s="21"/>
      <c r="G325" s="21"/>
      <c r="H325" s="23"/>
      <c r="I325" s="21"/>
      <c r="J325" s="21"/>
      <c r="K325" s="15">
        <f t="shared" si="17"/>
        <v>323</v>
      </c>
      <c r="L325" s="16">
        <f t="shared" si="15"/>
        <v>0.78771011875307306</v>
      </c>
      <c r="M325" s="16">
        <f t="shared" si="16"/>
        <v>-0.59358215029333117</v>
      </c>
    </row>
    <row r="326" spans="1:13">
      <c r="A326" s="20"/>
      <c r="B326" s="21"/>
      <c r="C326" s="22"/>
      <c r="D326" s="23"/>
      <c r="E326" s="22"/>
      <c r="F326" s="21"/>
      <c r="G326" s="21"/>
      <c r="H326" s="23"/>
      <c r="I326" s="21"/>
      <c r="J326" s="21"/>
      <c r="K326" s="15">
        <f t="shared" si="17"/>
        <v>324</v>
      </c>
      <c r="L326" s="16">
        <f t="shared" si="15"/>
        <v>0.79781066785753663</v>
      </c>
      <c r="M326" s="16">
        <f t="shared" si="16"/>
        <v>-0.57964337949486022</v>
      </c>
    </row>
    <row r="327" spans="1:13">
      <c r="A327" s="20"/>
      <c r="B327" s="21"/>
      <c r="C327" s="22"/>
      <c r="D327" s="23"/>
      <c r="E327" s="22"/>
      <c r="F327" s="21"/>
      <c r="G327" s="21"/>
      <c r="H327" s="23"/>
      <c r="I327" s="21"/>
      <c r="J327" s="21"/>
      <c r="K327" s="15">
        <f t="shared" si="17"/>
        <v>325</v>
      </c>
      <c r="L327" s="16">
        <f t="shared" si="15"/>
        <v>0.80766805933569219</v>
      </c>
      <c r="M327" s="16">
        <f t="shared" si="16"/>
        <v>-0.56553526351805938</v>
      </c>
    </row>
    <row r="328" spans="1:13">
      <c r="A328" s="20"/>
      <c r="B328" s="21"/>
      <c r="C328" s="22"/>
      <c r="D328" s="23"/>
      <c r="E328" s="22"/>
      <c r="F328" s="21"/>
      <c r="G328" s="21"/>
      <c r="H328" s="23"/>
      <c r="I328" s="21"/>
      <c r="J328" s="21"/>
      <c r="K328" s="15">
        <f t="shared" si="17"/>
        <v>326</v>
      </c>
      <c r="L328" s="16">
        <f t="shared" si="15"/>
        <v>0.81727953814177423</v>
      </c>
      <c r="M328" s="16">
        <f t="shared" si="16"/>
        <v>-0.5512620091176712</v>
      </c>
    </row>
    <row r="329" spans="1:13">
      <c r="A329" s="20"/>
      <c r="B329" s="21"/>
      <c r="C329" s="22"/>
      <c r="D329" s="23"/>
      <c r="E329" s="22"/>
      <c r="F329" s="21"/>
      <c r="G329" s="21"/>
      <c r="H329" s="23"/>
      <c r="I329" s="21"/>
      <c r="J329" s="21"/>
      <c r="K329" s="15">
        <f t="shared" si="17"/>
        <v>327</v>
      </c>
      <c r="L329" s="16">
        <f t="shared" si="15"/>
        <v>0.82664242078630124</v>
      </c>
      <c r="M329" s="16">
        <f t="shared" si="16"/>
        <v>-0.53682786491779555</v>
      </c>
    </row>
    <row r="330" spans="1:13">
      <c r="A330" s="20"/>
      <c r="B330" s="21"/>
      <c r="C330" s="22"/>
      <c r="D330" s="23"/>
      <c r="E330" s="22"/>
      <c r="F330" s="21"/>
      <c r="G330" s="21"/>
      <c r="H330" s="23"/>
      <c r="I330" s="21"/>
      <c r="J330" s="21"/>
      <c r="K330" s="15">
        <f t="shared" si="17"/>
        <v>328</v>
      </c>
      <c r="L330" s="16">
        <f t="shared" si="15"/>
        <v>0.83575409586907279</v>
      </c>
      <c r="M330" s="16">
        <f t="shared" si="16"/>
        <v>-0.52223712024127356</v>
      </c>
    </row>
    <row r="331" spans="1:13">
      <c r="A331" s="20"/>
      <c r="B331" s="21"/>
      <c r="C331" s="22"/>
      <c r="D331" s="23"/>
      <c r="E331" s="22"/>
      <c r="F331" s="21"/>
      <c r="G331" s="21"/>
      <c r="H331" s="23"/>
      <c r="I331" s="21"/>
      <c r="J331" s="21"/>
      <c r="K331" s="15">
        <f t="shared" si="17"/>
        <v>329</v>
      </c>
      <c r="L331" s="16">
        <f t="shared" si="15"/>
        <v>0.84461202459474782</v>
      </c>
      <c r="M331" s="16">
        <f t="shared" si="16"/>
        <v>-0.5074941039361216</v>
      </c>
    </row>
    <row r="332" spans="1:13">
      <c r="A332" s="20"/>
      <c r="B332" s="21"/>
      <c r="C332" s="22"/>
      <c r="D332" s="23"/>
      <c r="E332" s="22"/>
      <c r="F332" s="21"/>
      <c r="G332" s="21"/>
      <c r="H332" s="23"/>
      <c r="I332" s="21"/>
      <c r="J332" s="21"/>
      <c r="K332" s="15">
        <f t="shared" si="17"/>
        <v>330</v>
      </c>
      <c r="L332" s="16">
        <f t="shared" si="15"/>
        <v>0.85321374127116512</v>
      </c>
      <c r="M332" s="16">
        <f t="shared" si="16"/>
        <v>-0.49260318319919549</v>
      </c>
    </row>
    <row r="333" spans="1:13">
      <c r="A333" s="20"/>
      <c r="B333" s="21"/>
      <c r="C333" s="22"/>
      <c r="D333" s="23"/>
      <c r="E333" s="22"/>
      <c r="F333" s="21"/>
      <c r="G333" s="21"/>
      <c r="H333" s="23"/>
      <c r="I333" s="21"/>
      <c r="J333" s="21"/>
      <c r="K333" s="15">
        <f t="shared" si="17"/>
        <v>331</v>
      </c>
      <c r="L333" s="16">
        <f t="shared" si="15"/>
        <v>0.8615568537905467</v>
      </c>
      <c r="M333" s="16">
        <f t="shared" si="16"/>
        <v>-0.4775687623972697</v>
      </c>
    </row>
    <row r="334" spans="1:13">
      <c r="A334" s="20"/>
      <c r="B334" s="21"/>
      <c r="C334" s="22"/>
      <c r="D334" s="23"/>
      <c r="E334" s="22"/>
      <c r="F334" s="21"/>
      <c r="G334" s="21"/>
      <c r="H334" s="23"/>
      <c r="I334" s="21"/>
      <c r="J334" s="21"/>
      <c r="K334" s="15">
        <f t="shared" si="17"/>
        <v>332</v>
      </c>
      <c r="L334" s="16">
        <f t="shared" si="15"/>
        <v>0.86963904409373283</v>
      </c>
      <c r="M334" s="16">
        <f t="shared" si="16"/>
        <v>-0.46239528188571039</v>
      </c>
    </row>
    <row r="335" spans="1:13">
      <c r="A335" s="20"/>
      <c r="B335" s="21"/>
      <c r="C335" s="22"/>
      <c r="D335" s="23"/>
      <c r="E335" s="22"/>
      <c r="F335" s="21"/>
      <c r="G335" s="21"/>
      <c r="H335" s="23"/>
      <c r="I335" s="21"/>
      <c r="J335" s="21"/>
      <c r="K335" s="15">
        <f t="shared" si="17"/>
        <v>333</v>
      </c>
      <c r="L335" s="16">
        <f t="shared" si="15"/>
        <v>0.87745806861759734</v>
      </c>
      <c r="M335" s="16">
        <f t="shared" si="16"/>
        <v>-0.44708721682489483</v>
      </c>
    </row>
    <row r="336" spans="1:13">
      <c r="A336" s="20"/>
      <c r="B336" s="21"/>
      <c r="C336" s="22"/>
      <c r="D336" s="23"/>
      <c r="E336" s="22"/>
      <c r="F336" s="21"/>
      <c r="G336" s="21"/>
      <c r="H336" s="23"/>
      <c r="I336" s="21"/>
      <c r="J336" s="21"/>
      <c r="K336" s="15">
        <f t="shared" si="17"/>
        <v>334</v>
      </c>
      <c r="L336" s="16">
        <f t="shared" si="15"/>
        <v>0.88501175872577909</v>
      </c>
      <c r="M336" s="16">
        <f t="shared" si="16"/>
        <v>-0.43164907599455027</v>
      </c>
    </row>
    <row r="337" spans="1:13">
      <c r="A337" s="20"/>
      <c r="B337" s="21"/>
      <c r="C337" s="22"/>
      <c r="D337" s="23"/>
      <c r="E337" s="22"/>
      <c r="F337" s="21"/>
      <c r="G337" s="21"/>
      <c r="H337" s="23"/>
      <c r="I337" s="21"/>
      <c r="J337" s="21"/>
      <c r="K337" s="15">
        <f t="shared" si="17"/>
        <v>335</v>
      </c>
      <c r="L337" s="16">
        <f t="shared" si="15"/>
        <v>0.89229802112287848</v>
      </c>
      <c r="M337" s="16">
        <f t="shared" si="16"/>
        <v>-0.41608540060614868</v>
      </c>
    </row>
    <row r="338" spans="1:13">
      <c r="A338" s="20"/>
      <c r="B338" s="21"/>
      <c r="C338" s="22"/>
      <c r="D338" s="23"/>
      <c r="E338" s="22"/>
      <c r="F338" s="21"/>
      <c r="G338" s="21"/>
      <c r="H338" s="23"/>
      <c r="I338" s="21"/>
      <c r="J338" s="21"/>
      <c r="K338" s="15">
        <f t="shared" si="17"/>
        <v>336</v>
      </c>
      <c r="L338" s="16">
        <f t="shared" si="15"/>
        <v>0.89931483825225134</v>
      </c>
      <c r="M338" s="16">
        <f t="shared" si="16"/>
        <v>-0.40040076311350864</v>
      </c>
    </row>
    <row r="339" spans="1:13">
      <c r="A339" s="20"/>
      <c r="B339" s="21"/>
      <c r="C339" s="22"/>
      <c r="D339" s="23"/>
      <c r="E339" s="22"/>
      <c r="F339" s="21"/>
      <c r="G339" s="21"/>
      <c r="H339" s="23"/>
      <c r="I339" s="21"/>
      <c r="J339" s="21"/>
      <c r="K339" s="15">
        <f t="shared" si="17"/>
        <v>337</v>
      </c>
      <c r="L339" s="16">
        <f t="shared" si="15"/>
        <v>0.90606026867754486</v>
      </c>
      <c r="M339" s="16">
        <f t="shared" si="16"/>
        <v>-0.38459976602172607</v>
      </c>
    </row>
    <row r="340" spans="1:13">
      <c r="A340" s="20"/>
      <c r="B340" s="21"/>
      <c r="C340" s="22"/>
      <c r="D340" s="23"/>
      <c r="E340" s="22"/>
      <c r="F340" s="21"/>
      <c r="G340" s="21"/>
      <c r="H340" s="23"/>
      <c r="I340" s="21"/>
      <c r="J340" s="21"/>
      <c r="K340" s="15">
        <f t="shared" si="17"/>
        <v>338</v>
      </c>
      <c r="L340" s="16">
        <f t="shared" si="15"/>
        <v>0.91253244744810014</v>
      </c>
      <c r="M340" s="16">
        <f t="shared" si="16"/>
        <v>-0.36868704069457481</v>
      </c>
    </row>
    <row r="341" spans="1:13">
      <c r="A341" s="20"/>
      <c r="B341" s="21"/>
      <c r="C341" s="22"/>
      <c r="D341" s="23"/>
      <c r="E341" s="22"/>
      <c r="F341" s="21"/>
      <c r="G341" s="21"/>
      <c r="H341" s="23"/>
      <c r="I341" s="21"/>
      <c r="J341" s="21"/>
      <c r="K341" s="15">
        <f t="shared" si="17"/>
        <v>339</v>
      </c>
      <c r="L341" s="16">
        <f t="shared" si="15"/>
        <v>0.918729586448359</v>
      </c>
      <c r="M341" s="16">
        <f t="shared" si="16"/>
        <v>-0.3526672461604865</v>
      </c>
    </row>
    <row r="342" spans="1:13">
      <c r="A342" s="20"/>
      <c r="B342" s="21"/>
      <c r="C342" s="22"/>
      <c r="D342" s="23"/>
      <c r="E342" s="22"/>
      <c r="F342" s="21"/>
      <c r="G342" s="21"/>
      <c r="H342" s="23"/>
      <c r="I342" s="21"/>
      <c r="J342" s="21"/>
      <c r="K342" s="15">
        <f t="shared" si="17"/>
        <v>340</v>
      </c>
      <c r="L342" s="16">
        <f t="shared" si="15"/>
        <v>0.92464997473139676</v>
      </c>
      <c r="M342" s="16">
        <f t="shared" si="16"/>
        <v>-0.33654506791722444</v>
      </c>
    </row>
    <row r="343" spans="1:13">
      <c r="A343" s="20"/>
      <c r="B343" s="21"/>
      <c r="C343" s="22"/>
      <c r="D343" s="23"/>
      <c r="E343" s="22"/>
      <c r="F343" s="21"/>
      <c r="G343" s="21"/>
      <c r="H343" s="23"/>
      <c r="I343" s="21"/>
      <c r="J343" s="21"/>
      <c r="K343" s="15">
        <f t="shared" si="17"/>
        <v>341</v>
      </c>
      <c r="L343" s="16">
        <f t="shared" si="15"/>
        <v>0.93029197883670911</v>
      </c>
      <c r="M343" s="16">
        <f t="shared" si="16"/>
        <v>-0.32032521673536385</v>
      </c>
    </row>
    <row r="344" spans="1:13">
      <c r="A344" s="20"/>
      <c r="B344" s="21"/>
      <c r="C344" s="22"/>
      <c r="D344" s="23"/>
      <c r="E344" s="22"/>
      <c r="F344" s="21"/>
      <c r="G344" s="21"/>
      <c r="H344" s="23"/>
      <c r="I344" s="21"/>
      <c r="J344" s="21"/>
      <c r="K344" s="15">
        <f t="shared" si="17"/>
        <v>342</v>
      </c>
      <c r="L344" s="16">
        <f t="shared" si="15"/>
        <v>0.93565404309236899</v>
      </c>
      <c r="M344" s="16">
        <f t="shared" si="16"/>
        <v>-0.30401242746066337</v>
      </c>
    </row>
    <row r="345" spans="1:13">
      <c r="A345" s="20"/>
      <c r="B345" s="21"/>
      <c r="C345" s="22"/>
      <c r="D345" s="23"/>
      <c r="E345" s="22"/>
      <c r="F345" s="21"/>
      <c r="G345" s="21"/>
      <c r="H345" s="23"/>
      <c r="I345" s="21"/>
      <c r="J345" s="21"/>
      <c r="K345" s="15">
        <f t="shared" si="17"/>
        <v>343</v>
      </c>
      <c r="L345" s="16">
        <f t="shared" si="15"/>
        <v>0.94073468990167153</v>
      </c>
      <c r="M345" s="16">
        <f t="shared" si="16"/>
        <v>-0.28761145781544006</v>
      </c>
    </row>
    <row r="346" spans="1:13">
      <c r="A346" s="20"/>
      <c r="B346" s="21"/>
      <c r="C346" s="22"/>
      <c r="D346" s="23"/>
      <c r="E346" s="22"/>
      <c r="F346" s="21"/>
      <c r="G346" s="21"/>
      <c r="H346" s="23"/>
      <c r="I346" s="21"/>
      <c r="J346" s="21"/>
      <c r="K346" s="15">
        <f t="shared" si="17"/>
        <v>344</v>
      </c>
      <c r="L346" s="16">
        <f t="shared" si="15"/>
        <v>0.94553252001437726</v>
      </c>
      <c r="M346" s="16">
        <f t="shared" si="16"/>
        <v>-0.27112708719902012</v>
      </c>
    </row>
    <row r="347" spans="1:13">
      <c r="A347" s="20"/>
      <c r="B347" s="21"/>
      <c r="C347" s="22"/>
      <c r="D347" s="23"/>
      <c r="E347" s="22"/>
      <c r="F347" s="21"/>
      <c r="G347" s="21"/>
      <c r="H347" s="23"/>
      <c r="I347" s="21"/>
      <c r="J347" s="21"/>
      <c r="K347" s="15">
        <f t="shared" si="17"/>
        <v>345</v>
      </c>
      <c r="L347" s="16">
        <f t="shared" si="15"/>
        <v>0.95004621278265766</v>
      </c>
      <c r="M347" s="16">
        <f t="shared" si="16"/>
        <v>-0.25456411548735958</v>
      </c>
    </row>
    <row r="348" spans="1:13">
      <c r="A348" s="20"/>
      <c r="B348" s="21"/>
      <c r="C348" s="22"/>
      <c r="D348" s="23"/>
      <c r="E348" s="22"/>
      <c r="F348" s="21"/>
      <c r="G348" s="21"/>
      <c r="H348" s="23"/>
      <c r="I348" s="21"/>
      <c r="J348" s="21"/>
      <c r="K348" s="15">
        <f t="shared" si="17"/>
        <v>346</v>
      </c>
      <c r="L348" s="16">
        <f t="shared" si="15"/>
        <v>0.95427452640185273</v>
      </c>
      <c r="M348" s="16">
        <f t="shared" si="16"/>
        <v>-0.23792736183189619</v>
      </c>
    </row>
    <row r="349" spans="1:13">
      <c r="A349" s="20"/>
      <c r="B349" s="21"/>
      <c r="C349" s="22"/>
      <c r="D349" s="23"/>
      <c r="E349" s="22"/>
      <c r="F349" s="21"/>
      <c r="G349" s="21"/>
      <c r="H349" s="23"/>
      <c r="I349" s="21"/>
      <c r="J349" s="21"/>
      <c r="K349" s="15">
        <f t="shared" si="17"/>
        <v>347</v>
      </c>
      <c r="L349" s="16">
        <f t="shared" si="15"/>
        <v>0.95821629813612841</v>
      </c>
      <c r="M349" s="16">
        <f t="shared" si="16"/>
        <v>-0.2212216634577216</v>
      </c>
    </row>
    <row r="350" spans="1:13">
      <c r="A350" s="20"/>
      <c r="B350" s="21"/>
      <c r="C350" s="22"/>
      <c r="D350" s="23"/>
      <c r="E350" s="22"/>
      <c r="F350" s="21"/>
      <c r="G350" s="21"/>
      <c r="H350" s="23"/>
      <c r="I350" s="21"/>
      <c r="J350" s="21"/>
      <c r="K350" s="15">
        <f t="shared" si="17"/>
        <v>348</v>
      </c>
      <c r="L350" s="16">
        <f t="shared" si="15"/>
        <v>0.96187044452913362</v>
      </c>
      <c r="M350" s="16">
        <f t="shared" si="16"/>
        <v>-0.20445187446112892</v>
      </c>
    </row>
    <row r="351" spans="1:13">
      <c r="A351" s="20"/>
      <c r="B351" s="21"/>
      <c r="C351" s="22"/>
      <c r="D351" s="23"/>
      <c r="E351" s="22"/>
      <c r="F351" s="21"/>
      <c r="G351" s="21"/>
      <c r="H351" s="23"/>
      <c r="I351" s="21"/>
      <c r="J351" s="21"/>
      <c r="K351" s="15">
        <f t="shared" si="17"/>
        <v>349</v>
      </c>
      <c r="L351" s="16">
        <f t="shared" si="15"/>
        <v>0.96523596159973934</v>
      </c>
      <c r="M351" s="16">
        <f t="shared" si="16"/>
        <v>-0.18762286460660016</v>
      </c>
    </row>
    <row r="352" spans="1:13">
      <c r="A352" s="20"/>
      <c r="B352" s="21"/>
      <c r="C352" s="22"/>
      <c r="D352" s="23"/>
      <c r="E352" s="22"/>
      <c r="F352" s="21"/>
      <c r="G352" s="21"/>
      <c r="H352" s="23"/>
      <c r="I352" s="21"/>
      <c r="J352" s="21"/>
      <c r="K352" s="15">
        <f t="shared" si="17"/>
        <v>350</v>
      </c>
      <c r="L352" s="16">
        <f t="shared" si="15"/>
        <v>0.96831192502294239</v>
      </c>
      <c r="M352" s="16">
        <f t="shared" si="16"/>
        <v>-0.17073951812329699</v>
      </c>
    </row>
    <row r="353" spans="1:13">
      <c r="A353" s="20"/>
      <c r="B353" s="21"/>
      <c r="C353" s="22"/>
      <c r="D353" s="23"/>
      <c r="E353" s="22"/>
      <c r="F353" s="21"/>
      <c r="G353" s="21"/>
      <c r="H353" s="23"/>
      <c r="I353" s="21"/>
      <c r="J353" s="21"/>
      <c r="K353" s="15">
        <f t="shared" si="17"/>
        <v>351</v>
      </c>
      <c r="L353" s="16">
        <f t="shared" si="15"/>
        <v>0.97109749029601378</v>
      </c>
      <c r="M353" s="16">
        <f t="shared" si="16"/>
        <v>-0.15380673250109622</v>
      </c>
    </row>
    <row r="354" spans="1:13">
      <c r="A354" s="20"/>
      <c r="B354" s="21"/>
      <c r="C354" s="22"/>
      <c r="D354" s="23"/>
      <c r="E354" s="22"/>
      <c r="F354" s="21"/>
      <c r="G354" s="21"/>
      <c r="H354" s="23"/>
      <c r="I354" s="21"/>
      <c r="J354" s="21"/>
      <c r="K354" s="15">
        <f t="shared" si="17"/>
        <v>352</v>
      </c>
      <c r="L354" s="16">
        <f t="shared" si="15"/>
        <v>0.97359189288995607</v>
      </c>
      <c r="M354" s="16">
        <f t="shared" si="16"/>
        <v>-0.13682941728623615</v>
      </c>
    </row>
    <row r="355" spans="1:13">
      <c r="A355" s="20"/>
      <c r="B355" s="21"/>
      <c r="C355" s="22"/>
      <c r="D355" s="23"/>
      <c r="E355" s="22"/>
      <c r="F355" s="21"/>
      <c r="G355" s="21"/>
      <c r="H355" s="23"/>
      <c r="I355" s="21"/>
      <c r="J355" s="21"/>
      <c r="K355" s="15">
        <f t="shared" si="17"/>
        <v>353</v>
      </c>
      <c r="L355" s="16">
        <f t="shared" si="15"/>
        <v>0.97579444838633767</v>
      </c>
      <c r="M355" s="16">
        <f t="shared" si="16"/>
        <v>-0.11981249287660821</v>
      </c>
    </row>
    <row r="356" spans="1:13">
      <c r="A356" s="20"/>
      <c r="B356" s="21"/>
      <c r="C356" s="22"/>
      <c r="D356" s="23"/>
      <c r="E356" s="22"/>
      <c r="F356" s="21"/>
      <c r="G356" s="21"/>
      <c r="H356" s="23"/>
      <c r="I356" s="21"/>
      <c r="J356" s="21"/>
      <c r="K356" s="15">
        <f t="shared" si="17"/>
        <v>354</v>
      </c>
      <c r="L356" s="16">
        <f t="shared" si="15"/>
        <v>0.97770455259956612</v>
      </c>
      <c r="M356" s="16">
        <f t="shared" si="16"/>
        <v>-0.10276088931674771</v>
      </c>
    </row>
    <row r="357" spans="1:13">
      <c r="A357" s="20"/>
      <c r="B357" s="21"/>
      <c r="C357" s="22"/>
      <c r="D357" s="23"/>
      <c r="E357" s="22"/>
      <c r="F357" s="21"/>
      <c r="G357" s="21"/>
      <c r="H357" s="23"/>
      <c r="I357" s="21"/>
      <c r="J357" s="21"/>
      <c r="K357" s="15">
        <f t="shared" si="17"/>
        <v>355</v>
      </c>
      <c r="L357" s="16">
        <f t="shared" si="15"/>
        <v>0.97932168168464784</v>
      </c>
      <c r="M357" s="16">
        <f t="shared" si="16"/>
        <v>-8.5679545092550352E-2</v>
      </c>
    </row>
    <row r="358" spans="1:13">
      <c r="A358" s="20"/>
      <c r="B358" s="21"/>
      <c r="C358" s="22"/>
      <c r="D358" s="23"/>
      <c r="E358" s="22"/>
      <c r="F358" s="21"/>
      <c r="G358" s="21"/>
      <c r="H358" s="23"/>
      <c r="I358" s="21"/>
      <c r="J358" s="21"/>
      <c r="K358" s="15">
        <f t="shared" si="17"/>
        <v>356</v>
      </c>
      <c r="L358" s="16">
        <f t="shared" si="15"/>
        <v>0.98064539223048386</v>
      </c>
      <c r="M358" s="16">
        <f t="shared" si="16"/>
        <v>-6.857340592577138E-2</v>
      </c>
    </row>
    <row r="359" spans="1:13">
      <c r="A359" s="20"/>
      <c r="B359" s="21"/>
      <c r="C359" s="22"/>
      <c r="D359" s="23"/>
      <c r="E359" s="22"/>
      <c r="F359" s="21"/>
      <c r="G359" s="21"/>
      <c r="H359" s="23"/>
      <c r="I359" s="21"/>
      <c r="J359" s="21"/>
      <c r="K359" s="15">
        <f t="shared" si="17"/>
        <v>357</v>
      </c>
      <c r="L359" s="16">
        <f t="shared" si="15"/>
        <v>0.98167532133874424</v>
      </c>
      <c r="M359" s="16">
        <f t="shared" si="16"/>
        <v>-5.1447423568329986E-2</v>
      </c>
    </row>
    <row r="360" spans="1:13">
      <c r="A360" s="20"/>
      <c r="B360" s="21"/>
      <c r="C360" s="22"/>
      <c r="D360" s="23"/>
      <c r="E360" s="22"/>
      <c r="F360" s="21"/>
      <c r="G360" s="21"/>
      <c r="H360" s="23"/>
      <c r="I360" s="21"/>
      <c r="J360" s="21"/>
      <c r="K360" s="15">
        <f t="shared" si="17"/>
        <v>358</v>
      </c>
      <c r="L360" s="16">
        <f t="shared" si="15"/>
        <v>0.98241118668835337</v>
      </c>
      <c r="M360" s="16">
        <f t="shared" si="16"/>
        <v>-3.4306554596458184E-2</v>
      </c>
    </row>
    <row r="361" spans="1:13">
      <c r="A361" s="20"/>
      <c r="B361" s="21"/>
      <c r="C361" s="22"/>
      <c r="D361" s="23"/>
      <c r="E361" s="22"/>
      <c r="F361" s="21"/>
      <c r="G361" s="21"/>
      <c r="H361" s="23"/>
      <c r="I361" s="21"/>
      <c r="J361" s="21"/>
      <c r="K361" s="15">
        <f>K360+1</f>
        <v>359</v>
      </c>
      <c r="L361" s="16">
        <f t="shared" si="15"/>
        <v>0.98285278658561481</v>
      </c>
      <c r="M361" s="16">
        <f t="shared" si="16"/>
        <v>-1.7155759204731533E-2</v>
      </c>
    </row>
    <row r="362" spans="1:13">
      <c r="A362" s="20"/>
      <c r="B362" s="21"/>
      <c r="C362" s="22"/>
      <c r="D362" s="23"/>
      <c r="E362" s="22"/>
      <c r="F362" s="21"/>
      <c r="G362" s="21"/>
      <c r="H362" s="23"/>
      <c r="I362" s="21"/>
      <c r="J362" s="21"/>
      <c r="K362" s="15">
        <f t="shared" ref="K362" si="18">K361+1</f>
        <v>360</v>
      </c>
      <c r="L362" s="16">
        <f t="shared" si="15"/>
        <v>0.9830000000000001</v>
      </c>
      <c r="M362" s="16">
        <f>IF($D$2="","", ($D$2*(1-$E$2^2)/(1+$E$2*COS(RADIANS(K362)))) * SIN(RADIANS(K362)) )</f>
        <v>-2.4086418623503474E-16</v>
      </c>
    </row>
  </sheetData>
  <dataValidations count="1">
    <dataValidation type="list" allowBlank="1" showInputMessage="1" showErrorMessage="1" sqref="C2" xr:uid="{29577540-3C0C-42DB-BFBF-93ED48CCC303}">
      <formula1>Plot_display_choices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Orbital Plotter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 Jukes III</dc:creator>
  <cp:lastModifiedBy>Albert Jukes III</cp:lastModifiedBy>
  <dcterms:created xsi:type="dcterms:W3CDTF">2025-09-18T11:27:40Z</dcterms:created>
  <dcterms:modified xsi:type="dcterms:W3CDTF">2025-09-18T11:28:09Z</dcterms:modified>
</cp:coreProperties>
</file>